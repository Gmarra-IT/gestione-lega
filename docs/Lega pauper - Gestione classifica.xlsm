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Questa_cartella_di_lavoro1"/>
  <mc:AlternateContent xmlns:mc="http://schemas.openxmlformats.org/markup-compatibility/2006">
    <mc:Choice Requires="x15">
      <x15ac:absPath xmlns:x15ac="http://schemas.microsoft.com/office/spreadsheetml/2010/11/ac" url="C:\Users\gabri\Downloads\"/>
    </mc:Choice>
  </mc:AlternateContent>
  <xr:revisionPtr revIDLastSave="0" documentId="13_ncr:1_{F7165E9A-7D34-4A3F-9C58-1FC312F37727}" xr6:coauthVersionLast="47" xr6:coauthVersionMax="47" xr10:uidLastSave="{00000000-0000-0000-0000-000000000000}"/>
  <bookViews>
    <workbookView xWindow="-120" yWindow="-120" windowWidth="38640" windowHeight="21120" tabRatio="500" xr2:uid="{00000000-000D-0000-FFFF-FFFF00000000}"/>
  </bookViews>
  <sheets>
    <sheet name="Form" sheetId="1" r:id="rId1"/>
    <sheet name="Tappe" sheetId="2" r:id="rId2"/>
    <sheet name="Classifica" sheetId="3" r:id="rId3"/>
    <sheet name="Top 8 Finale" sheetId="4" r:id="rId4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4" l="1"/>
  <c r="B16" i="4" s="1"/>
  <c r="F12" i="4"/>
  <c r="D14" i="4" s="1"/>
  <c r="F11" i="4"/>
  <c r="B14" i="4" s="1"/>
  <c r="F9" i="4"/>
  <c r="D12" i="4" s="1"/>
  <c r="F8" i="4"/>
  <c r="B12" i="4" s="1"/>
  <c r="F6" i="4"/>
  <c r="D11" i="4" s="1"/>
  <c r="F5" i="4"/>
  <c r="B11" i="4" s="1"/>
  <c r="I26" i="2"/>
  <c r="H26" i="2"/>
  <c r="I25" i="2"/>
  <c r="R25" i="2" s="1"/>
  <c r="I24" i="2"/>
  <c r="G24" i="2"/>
  <c r="F24" i="2"/>
  <c r="E24" i="2"/>
  <c r="D24" i="2"/>
  <c r="I23" i="2"/>
  <c r="H23" i="2"/>
  <c r="G23" i="2"/>
  <c r="F23" i="2"/>
  <c r="E23" i="2"/>
  <c r="D23" i="2"/>
  <c r="C23" i="2"/>
  <c r="I22" i="2"/>
  <c r="H22" i="2"/>
  <c r="F22" i="2"/>
  <c r="E22" i="2"/>
  <c r="D22" i="2"/>
  <c r="I21" i="2"/>
  <c r="H21" i="2"/>
  <c r="G21" i="2"/>
  <c r="F21" i="2"/>
  <c r="E21" i="2"/>
  <c r="D21" i="2"/>
  <c r="G20" i="2"/>
  <c r="F20" i="2"/>
  <c r="E20" i="2"/>
  <c r="H19" i="2"/>
  <c r="R19" i="2" s="1"/>
  <c r="D18" i="2"/>
  <c r="R18" i="2" s="1"/>
  <c r="D17" i="2"/>
  <c r="C17" i="2"/>
  <c r="H16" i="2"/>
  <c r="G16" i="2"/>
  <c r="F16" i="2"/>
  <c r="E16" i="2"/>
  <c r="D16" i="2"/>
  <c r="C16" i="2"/>
  <c r="E15" i="2"/>
  <c r="C15" i="2"/>
  <c r="R15" i="2" s="1"/>
  <c r="D14" i="2"/>
  <c r="Q14" i="2" s="1"/>
  <c r="H13" i="2"/>
  <c r="G13" i="2"/>
  <c r="F13" i="2"/>
  <c r="E13" i="2"/>
  <c r="E12" i="2"/>
  <c r="O12" i="2" s="1"/>
  <c r="I11" i="2"/>
  <c r="H11" i="2"/>
  <c r="G11" i="2"/>
  <c r="F11" i="2"/>
  <c r="E11" i="2"/>
  <c r="D11" i="2"/>
  <c r="C11" i="2"/>
  <c r="D10" i="2"/>
  <c r="R10" i="2" s="1"/>
  <c r="I9" i="2"/>
  <c r="H9" i="2"/>
  <c r="G9" i="2"/>
  <c r="F9" i="2"/>
  <c r="E9" i="2"/>
  <c r="D9" i="2"/>
  <c r="C9" i="2"/>
  <c r="I8" i="2"/>
  <c r="F8" i="2"/>
  <c r="E8" i="2"/>
  <c r="D8" i="2"/>
  <c r="R8" i="2" s="1"/>
  <c r="D7" i="2"/>
  <c r="R7" i="2" s="1"/>
  <c r="I6" i="2"/>
  <c r="H6" i="2"/>
  <c r="E6" i="2"/>
  <c r="G5" i="2"/>
  <c r="F5" i="2"/>
  <c r="E5" i="2"/>
  <c r="D5" i="2"/>
  <c r="B14" i="1"/>
  <c r="B13" i="1"/>
  <c r="G1" i="1"/>
  <c r="E4" i="1"/>
  <c r="R13" i="2" l="1"/>
  <c r="O16" i="2"/>
  <c r="R6" i="2"/>
  <c r="O9" i="2"/>
  <c r="R20" i="2"/>
  <c r="R22" i="2"/>
  <c r="R24" i="2"/>
  <c r="Q11" i="2"/>
  <c r="O19" i="2"/>
  <c r="O17" i="2"/>
  <c r="O8" i="2"/>
  <c r="R16" i="2"/>
  <c r="Q17" i="2"/>
  <c r="Q19" i="2"/>
  <c r="Q25" i="2"/>
  <c r="R9" i="2"/>
  <c r="R21" i="2"/>
  <c r="R17" i="2"/>
  <c r="O11" i="2"/>
  <c r="Q16" i="2"/>
  <c r="R5" i="2"/>
  <c r="R23" i="2"/>
  <c r="R11" i="2"/>
  <c r="O20" i="2"/>
  <c r="Q20" i="2"/>
  <c r="O25" i="2"/>
  <c r="R26" i="2"/>
  <c r="Q21" i="2"/>
  <c r="Q12" i="2"/>
  <c r="O13" i="2"/>
  <c r="O22" i="2"/>
  <c r="O5" i="2"/>
  <c r="O6" i="2"/>
  <c r="Q22" i="2"/>
  <c r="R12" i="2"/>
  <c r="Q6" i="2"/>
  <c r="R14" i="2"/>
  <c r="O21" i="2"/>
  <c r="Q5" i="2"/>
  <c r="Q13" i="2"/>
  <c r="O14" i="2"/>
  <c r="O7" i="2"/>
  <c r="O15" i="2"/>
  <c r="O23" i="2"/>
  <c r="Q7" i="2"/>
  <c r="Q15" i="2"/>
  <c r="Q23" i="2"/>
  <c r="O24" i="2"/>
  <c r="Q8" i="2"/>
  <c r="Q24" i="2"/>
  <c r="O18" i="2"/>
  <c r="Q9" i="2"/>
  <c r="O10" i="2"/>
  <c r="O26" i="2"/>
  <c r="Q10" i="2"/>
  <c r="Q18" i="2"/>
  <c r="Q26" i="2"/>
  <c r="B15" i="1"/>
  <c r="B16" i="1" s="1"/>
  <c r="B18" i="1" s="1"/>
  <c r="B19" i="1" s="1"/>
  <c r="S21" i="2" l="1"/>
  <c r="P6" i="2"/>
  <c r="P18" i="2"/>
  <c r="S10" i="2"/>
  <c r="S22" i="2"/>
  <c r="P14" i="2"/>
  <c r="S24" i="2"/>
  <c r="P15" i="2"/>
  <c r="S23" i="2"/>
  <c r="P21" i="2"/>
  <c r="S18" i="2"/>
  <c r="P5" i="2"/>
  <c r="S15" i="2"/>
  <c r="P9" i="2"/>
  <c r="S16" i="2"/>
  <c r="P8" i="2"/>
  <c r="P24" i="2"/>
  <c r="S5" i="2"/>
  <c r="P23" i="2"/>
  <c r="S9" i="2"/>
  <c r="S20" i="2"/>
  <c r="S7" i="2"/>
  <c r="S19" i="2"/>
  <c r="P13" i="2"/>
  <c r="P22" i="2"/>
  <c r="S12" i="2"/>
  <c r="P25" i="2"/>
  <c r="S8" i="2"/>
  <c r="P7" i="2"/>
  <c r="P16" i="2"/>
  <c r="P10" i="2"/>
  <c r="S11" i="2"/>
  <c r="P17" i="2"/>
  <c r="P12" i="2"/>
  <c r="S13" i="2"/>
  <c r="S25" i="2"/>
  <c r="P26" i="2"/>
  <c r="S26" i="2"/>
  <c r="P11" i="2"/>
  <c r="P19" i="2"/>
  <c r="S17" i="2"/>
  <c r="P20" i="2"/>
  <c r="S14" i="2"/>
  <c r="S6" i="2"/>
  <c r="B8" i="3" l="1"/>
  <c r="B6" i="4" s="1"/>
  <c r="B5" i="3"/>
  <c r="B5" i="4" s="1"/>
  <c r="B24" i="3"/>
  <c r="C7" i="3"/>
  <c r="D7" i="3" s="1"/>
  <c r="C13" i="3"/>
  <c r="D13" i="3" s="1"/>
  <c r="C19" i="3"/>
  <c r="D19" i="3" s="1"/>
  <c r="C20" i="3"/>
  <c r="D20" i="3" s="1"/>
  <c r="C23" i="3"/>
  <c r="D23" i="3" s="1"/>
  <c r="B20" i="3"/>
  <c r="B6" i="3"/>
  <c r="B8" i="4" s="1"/>
  <c r="B14" i="3"/>
  <c r="B11" i="3"/>
  <c r="D8" i="4" s="1"/>
  <c r="C17" i="3"/>
  <c r="D17" i="3" s="1"/>
  <c r="C22" i="3"/>
  <c r="D22" i="3" s="1"/>
  <c r="C16" i="3"/>
  <c r="D16" i="3" s="1"/>
  <c r="C21" i="3"/>
  <c r="D21" i="3" s="1"/>
  <c r="B10" i="3"/>
  <c r="D9" i="4" s="1"/>
  <c r="C18" i="3"/>
  <c r="D18" i="3" s="1"/>
  <c r="C11" i="3"/>
  <c r="D11" i="3" s="1"/>
  <c r="B19" i="3"/>
  <c r="C9" i="3"/>
  <c r="D9" i="3" s="1"/>
  <c r="B13" i="3"/>
  <c r="B18" i="3"/>
  <c r="B21" i="3"/>
  <c r="C6" i="3"/>
  <c r="D6" i="3" s="1"/>
  <c r="C14" i="3"/>
  <c r="D14" i="3" s="1"/>
  <c r="C26" i="3"/>
  <c r="D26" i="3" s="1"/>
  <c r="C8" i="3"/>
  <c r="D8" i="3" s="1"/>
  <c r="C25" i="3"/>
  <c r="D25" i="3" s="1"/>
  <c r="B26" i="3"/>
  <c r="B23" i="3"/>
  <c r="C5" i="3"/>
  <c r="D5" i="3" s="1"/>
  <c r="B16" i="3"/>
  <c r="C24" i="3"/>
  <c r="D24" i="3" s="1"/>
  <c r="B9" i="3"/>
  <c r="D6" i="4" s="1"/>
  <c r="B17" i="3"/>
  <c r="B22" i="3"/>
  <c r="B25" i="3"/>
  <c r="B12" i="3"/>
  <c r="D5" i="4" s="1"/>
  <c r="C12" i="3"/>
  <c r="D12" i="3" s="1"/>
  <c r="C10" i="3"/>
  <c r="D10" i="3" s="1"/>
  <c r="B7" i="3"/>
  <c r="B9" i="4" s="1"/>
  <c r="B15" i="3"/>
  <c r="C15" i="3"/>
  <c r="D15" i="3" s="1"/>
</calcChain>
</file>

<file path=xl/sharedStrings.xml><?xml version="1.0" encoding="utf-8"?>
<sst xmlns="http://schemas.openxmlformats.org/spreadsheetml/2006/main" count="98" uniqueCount="95">
  <si>
    <t>Form Inserimento Risultati</t>
  </si>
  <si>
    <t>Compila i campi gialli e premi il pulsante "Inserisci Risultato".</t>
  </si>
  <si>
    <t>Tappa</t>
  </si>
  <si>
    <t>Risultati inseriti:</t>
  </si>
  <si>
    <t>Nuovo giocatore?</t>
  </si>
  <si>
    <t>Giocatore (lista)</t>
  </si>
  <si>
    <t>Nome nuovo giocatore</t>
  </si>
  <si>
    <t>← solo se "Nuovo = Sì"</t>
  </si>
  <si>
    <t>Punti effettivi</t>
  </si>
  <si>
    <t>[ INSERISCI RISULTATO ]</t>
  </si>
  <si>
    <t>Record dedotto</t>
  </si>
  <si>
    <t>Bonus risultato</t>
  </si>
  <si>
    <t>Partecipazioni attuali</t>
  </si>
  <si>
    <t>Bonus partecipazione</t>
  </si>
  <si>
    <t>TOTALE PUNTI</t>
  </si>
  <si>
    <t>Formula cella</t>
  </si>
  <si>
    <t>Note</t>
  </si>
  <si>
    <t>• 6 pt effettivi: bonus=1 (2-2-0) o bonus=0 (1-0-3). Il calcolo assume 2-2-0.</t>
  </si>
  <si>
    <t>• Il bonus partecipazione si basa sul conteggio tappe giocate dal giocatore.</t>
  </si>
  <si>
    <t>• Se "Nuovo = Sì", compila "Nome nuovo giocatore" e lascia vuoto il dropdown.</t>
  </si>
  <si>
    <t>Tabella Bonus Risultato</t>
  </si>
  <si>
    <t>Score</t>
  </si>
  <si>
    <t>Punti</t>
  </si>
  <si>
    <t>Punti bonus</t>
  </si>
  <si>
    <t>4-0-0</t>
  </si>
  <si>
    <t>3-0-1</t>
  </si>
  <si>
    <t>3-1-0</t>
  </si>
  <si>
    <t>2-0-2</t>
  </si>
  <si>
    <t>2-1-1</t>
  </si>
  <si>
    <t>2-2-0</t>
  </si>
  <si>
    <t>Campionato - Inserimento Risultati</t>
  </si>
  <si>
    <t>Inserisci i punti nelle 12 tappe e, se necessario, un valore di spareggio. Posizione e grafici si aggiornano automaticamente.</t>
  </si>
  <si>
    <t>ID</t>
  </si>
  <si>
    <t>Giocatore</t>
  </si>
  <si>
    <t>Tappa 1</t>
  </si>
  <si>
    <t>Tappa 2</t>
  </si>
  <si>
    <t>Tappa 3</t>
  </si>
  <si>
    <t>Tappa 4</t>
  </si>
  <si>
    <t>Tappa 5</t>
  </si>
  <si>
    <t>Tappa 6</t>
  </si>
  <si>
    <t>Tappa 7</t>
  </si>
  <si>
    <t>Tappa 8</t>
  </si>
  <si>
    <t>Tappa 9</t>
  </si>
  <si>
    <t>Tappa 10</t>
  </si>
  <si>
    <t>Tappa 11</t>
  </si>
  <si>
    <t>Tappa 12</t>
  </si>
  <si>
    <t>Best 8 Tappe</t>
  </si>
  <si>
    <t>Diff Top 8</t>
  </si>
  <si>
    <t>Partecipazioni</t>
  </si>
  <si>
    <t>Totale</t>
  </si>
  <si>
    <t>Posizione</t>
  </si>
  <si>
    <t>Bruno Barbieri</t>
  </si>
  <si>
    <t>Daniel Gemignani</t>
  </si>
  <si>
    <t>Daniele Gambini</t>
  </si>
  <si>
    <t>Dario Tommasi</t>
  </si>
  <si>
    <t>Gabriele Marraccini</t>
  </si>
  <si>
    <t>Gianmarco Bina</t>
  </si>
  <si>
    <t>Gianmarco Del Bucchia</t>
  </si>
  <si>
    <t>Gianmarco Venturini</t>
  </si>
  <si>
    <t>Gianmarco Volpe</t>
  </si>
  <si>
    <t>Gioca Turo</t>
  </si>
  <si>
    <t>Giulio Bertozzi</t>
  </si>
  <si>
    <t>Igor Fustini</t>
  </si>
  <si>
    <t>Jhonathan Lipparelli</t>
  </si>
  <si>
    <t>Leonardo Guerra Silicani</t>
  </si>
  <si>
    <t>Massimiliano Lombardi</t>
  </si>
  <si>
    <t>Michele Pardini</t>
  </si>
  <si>
    <t>Nicola Dalle Mura</t>
  </si>
  <si>
    <t>Nicola Pardini</t>
  </si>
  <si>
    <t>Paolo Baroni</t>
  </si>
  <si>
    <t>Roberto Randazzo</t>
  </si>
  <si>
    <t>Stefano Ghiara</t>
  </si>
  <si>
    <t>Tommaso Duccini</t>
  </si>
  <si>
    <t>Nota</t>
  </si>
  <si>
    <t>A parità di punti, la posizione è determinata dall'ordine del giocatore nell'elenco.</t>
  </si>
  <si>
    <t>Classifica Generale</t>
  </si>
  <si>
    <t>Classifica ordinata automaticamente per punti e spareggio.</t>
  </si>
  <si>
    <t>Top 8 Finale</t>
  </si>
  <si>
    <t>I qualificati arrivano dalla classifica. Inserisci i punteggi nei campi gialli per aggiornare il tabellone.</t>
  </si>
  <si>
    <t>Fase</t>
  </si>
  <si>
    <t>Giocatore A</t>
  </si>
  <si>
    <t>Punti A</t>
  </si>
  <si>
    <t>Giocatore B</t>
  </si>
  <si>
    <t>Punti B</t>
  </si>
  <si>
    <t>Vincitore</t>
  </si>
  <si>
    <t>Quarto 1 (1° vs 8°)</t>
  </si>
  <si>
    <t>Quarto 2 (4° vs 5°)</t>
  </si>
  <si>
    <t>Quarto 3 (2° vs 7°)</t>
  </si>
  <si>
    <t>Quarto 4 (3° vs 6°)</t>
  </si>
  <si>
    <t>Semifinale 1</t>
  </si>
  <si>
    <t>Semifinale 2</t>
  </si>
  <si>
    <t>Finale</t>
  </si>
  <si>
    <t>Campione</t>
  </si>
  <si>
    <t>Best 8 tappe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</si>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</sst>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charset val="1"/>
    </font>
    <font>
      <b/>
      <sz val="14"/>
      <name val="Calibri"/>
      <family val="2"/>
    </font>
    <font>
      <sz val="9"/>
      <color rgb="FFCCCCCC"/>
      <name val="Calibri"/>
      <family val="2"/>
    </font>
    <font>
      <i/>
      <sz val="10"/>
      <color rgb="FF666666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1"/>
      <color rgb="FF006600"/>
      <name val="Calibri"/>
      <family val="2"/>
    </font>
    <font>
      <i/>
      <sz val="11"/>
      <name val="Calibri"/>
      <family val="2"/>
    </font>
    <font>
      <i/>
      <sz val="9"/>
      <color rgb="FF999999"/>
      <name val="Calibri"/>
      <family val="2"/>
    </font>
    <font>
      <b/>
      <sz val="11"/>
      <color rgb="FFFFFFFF"/>
      <name val="Calibri"/>
      <family val="2"/>
    </font>
    <font>
      <i/>
      <sz val="11"/>
      <color rgb="FF666666"/>
      <name val="Calibri"/>
      <family val="2"/>
    </font>
    <font>
      <i/>
      <sz val="8"/>
      <color rgb="FF888888"/>
      <name val="Calibri"/>
      <family val="2"/>
    </font>
    <font>
      <b/>
      <sz val="13"/>
      <name val="Calibri"/>
      <family val="2"/>
    </font>
    <font>
      <b/>
      <sz val="14"/>
      <color rgb="FF0000CC"/>
      <name val="Calibri"/>
      <family val="2"/>
    </font>
    <font>
      <i/>
      <sz val="11"/>
      <color rgb="FF999999"/>
      <name val="Calibri"/>
      <family val="2"/>
    </font>
    <font>
      <b/>
      <sz val="16"/>
      <color rgb="FFFFFFFF"/>
      <name val="Calibri"/>
      <family val="2"/>
    </font>
    <font>
      <i/>
      <sz val="10"/>
      <color rgb="FF1F4E78"/>
      <name val="Calibri"/>
      <family val="2"/>
    </font>
    <font>
      <sz val="10"/>
      <color rgb="FF666666"/>
      <name val="Calibri"/>
      <family val="2"/>
    </font>
    <font>
      <sz val="10"/>
      <color rgb="FF0000FF"/>
      <name val="Calibri"/>
      <family val="2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2"/>
      <color rgb="FF1F4E78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CC"/>
        <bgColor rgb="FFFFF2CC"/>
      </patternFill>
    </fill>
    <fill>
      <patternFill patternType="solid">
        <fgColor rgb="FFE3F2FD"/>
        <bgColor rgb="FFDDEBF7"/>
      </patternFill>
    </fill>
    <fill>
      <patternFill patternType="solid">
        <fgColor rgb="FF2E7D32"/>
        <bgColor rgb="FF1B5E20"/>
      </patternFill>
    </fill>
    <fill>
      <patternFill patternType="solid">
        <fgColor rgb="FFD9E1F2"/>
        <bgColor rgb="FFD9EAF7"/>
      </patternFill>
    </fill>
    <fill>
      <patternFill patternType="solid">
        <fgColor rgb="FF1F4E78"/>
        <bgColor rgb="FF003366"/>
      </patternFill>
    </fill>
    <fill>
      <patternFill patternType="solid">
        <fgColor rgb="FFD9EAF7"/>
        <bgColor rgb="FFDDEBF7"/>
      </patternFill>
    </fill>
    <fill>
      <patternFill patternType="solid">
        <fgColor rgb="FFFFFFFF"/>
        <bgColor rgb="FFF3F3F3"/>
      </patternFill>
    </fill>
    <fill>
      <patternFill patternType="solid">
        <fgColor rgb="FFF3F3F3"/>
        <bgColor rgb="FFE3F2FD"/>
      </patternFill>
    </fill>
    <fill>
      <patternFill patternType="solid">
        <fgColor rgb="FFDDEBF7"/>
        <bgColor rgb="FFD9EAF7"/>
      </patternFill>
    </fill>
    <fill>
      <patternFill patternType="solid">
        <fgColor rgb="FFFCE4D6"/>
        <bgColor rgb="FFFFF2CC"/>
      </patternFill>
    </fill>
    <fill>
      <patternFill patternType="solid">
        <fgColor rgb="FFE2F0D9"/>
        <bgColor rgb="FFDDEBF7"/>
      </patternFill>
    </fill>
    <fill>
      <patternFill patternType="solid">
        <fgColor rgb="FFFFF2CC"/>
        <bgColor rgb="FFFFFFCC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1B5E20"/>
      </left>
      <right style="medium">
        <color rgb="FF1B5E20"/>
      </right>
      <top style="medium">
        <color rgb="FF1B5E20"/>
      </top>
      <bottom style="medium">
        <color rgb="FF1B5E20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  <border>
      <left style="thin">
        <color rgb="FFB7C9D6"/>
      </left>
      <right style="thin">
        <color rgb="FFB7C9D6"/>
      </right>
      <top/>
      <bottom/>
      <diagonal/>
    </border>
    <border>
      <left style="thin">
        <color rgb="FFB7C9D6"/>
      </left>
      <right/>
      <top style="thin">
        <color rgb="FFB7C9D6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3" xfId="0" applyBorder="1"/>
    <xf numFmtId="0" fontId="0" fillId="2" borderId="5" xfId="0" applyFill="1" applyBorder="1" applyAlignment="1">
      <alignment horizontal="center" vertical="center"/>
    </xf>
    <xf numFmtId="0" fontId="2" fillId="0" borderId="2" xfId="0" applyFont="1" applyBorder="1"/>
    <xf numFmtId="0" fontId="0" fillId="0" borderId="4" xfId="0" applyBorder="1"/>
    <xf numFmtId="0" fontId="4" fillId="0" borderId="3" xfId="0" applyFont="1" applyBorder="1"/>
    <xf numFmtId="0" fontId="5" fillId="0" borderId="0" xfId="0" applyFont="1"/>
    <xf numFmtId="0" fontId="6" fillId="3" borderId="5" xfId="0" applyFont="1" applyFill="1" applyBorder="1"/>
    <xf numFmtId="0" fontId="7" fillId="0" borderId="3" xfId="0" applyFont="1" applyBorder="1"/>
    <xf numFmtId="0" fontId="5" fillId="0" borderId="3" xfId="0" applyFont="1" applyBorder="1"/>
    <xf numFmtId="0" fontId="11" fillId="0" borderId="0" xfId="0" applyFont="1"/>
    <xf numFmtId="0" fontId="4" fillId="3" borderId="5" xfId="0" applyFont="1" applyFill="1" applyBorder="1"/>
    <xf numFmtId="0" fontId="7" fillId="3" borderId="5" xfId="0" applyFont="1" applyFill="1" applyBorder="1"/>
    <xf numFmtId="0" fontId="12" fillId="0" borderId="3" xfId="0" applyFont="1" applyBorder="1"/>
    <xf numFmtId="0" fontId="13" fillId="3" borderId="5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8" borderId="0" xfId="0" applyFill="1"/>
    <xf numFmtId="0" fontId="9" fillId="6" borderId="11" xfId="0" applyFont="1" applyFill="1" applyBorder="1" applyAlignment="1">
      <alignment horizontal="center" vertical="center" wrapText="1"/>
    </xf>
    <xf numFmtId="0" fontId="17" fillId="9" borderId="11" xfId="0" applyFont="1" applyFill="1" applyBorder="1" applyAlignment="1">
      <alignment horizontal="center"/>
    </xf>
    <xf numFmtId="0" fontId="18" fillId="10" borderId="11" xfId="0" applyFont="1" applyFill="1" applyBorder="1"/>
    <xf numFmtId="0" fontId="18" fillId="10" borderId="11" xfId="0" applyFont="1" applyFill="1" applyBorder="1" applyAlignment="1">
      <alignment horizontal="center"/>
    </xf>
    <xf numFmtId="0" fontId="18" fillId="11" borderId="11" xfId="0" applyFont="1" applyFill="1" applyBorder="1" applyAlignment="1">
      <alignment horizontal="center"/>
    </xf>
    <xf numFmtId="0" fontId="19" fillId="9" borderId="11" xfId="0" applyFont="1" applyFill="1" applyBorder="1" applyAlignment="1">
      <alignment horizontal="center"/>
    </xf>
    <xf numFmtId="0" fontId="19" fillId="12" borderId="11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17" fillId="9" borderId="12" xfId="0" applyFont="1" applyFill="1" applyBorder="1" applyAlignment="1">
      <alignment horizontal="center"/>
    </xf>
    <xf numFmtId="0" fontId="20" fillId="13" borderId="11" xfId="0" applyFont="1" applyFill="1" applyBorder="1"/>
    <xf numFmtId="0" fontId="19" fillId="0" borderId="11" xfId="0" applyFont="1" applyBorder="1" applyAlignment="1">
      <alignment horizontal="left"/>
    </xf>
    <xf numFmtId="0" fontId="19" fillId="0" borderId="11" xfId="0" applyFont="1" applyBorder="1" applyAlignment="1">
      <alignment horizontal="center"/>
    </xf>
    <xf numFmtId="0" fontId="18" fillId="13" borderId="11" xfId="0" applyFont="1" applyFill="1" applyBorder="1" applyAlignment="1">
      <alignment horizontal="center"/>
    </xf>
    <xf numFmtId="0" fontId="20" fillId="12" borderId="11" xfId="0" applyFont="1" applyFill="1" applyBorder="1" applyAlignment="1">
      <alignment horizontal="center"/>
    </xf>
    <xf numFmtId="0" fontId="9" fillId="6" borderId="11" xfId="0" applyFont="1" applyFill="1" applyBorder="1" applyAlignment="1">
      <alignment horizontal="center"/>
    </xf>
    <xf numFmtId="0" fontId="21" fillId="13" borderId="11" xfId="0" applyFont="1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23" fillId="6" borderId="11" xfId="0" applyFont="1" applyFill="1" applyBorder="1" applyAlignment="1">
      <alignment horizontal="center" vertical="center" wrapText="1"/>
    </xf>
    <xf numFmtId="0" fontId="24" fillId="0" borderId="3" xfId="0" applyFont="1" applyBorder="1"/>
    <xf numFmtId="0" fontId="0" fillId="0" borderId="3" xfId="0" applyBorder="1"/>
    <xf numFmtId="0" fontId="9" fillId="4" borderId="6" xfId="0" applyFont="1" applyFill="1" applyBorder="1" applyAlignment="1">
      <alignment horizontal="center" vertical="center"/>
    </xf>
    <xf numFmtId="0" fontId="10" fillId="3" borderId="5" xfId="0" applyFont="1" applyFill="1" applyBorder="1"/>
    <xf numFmtId="0" fontId="14" fillId="3" borderId="5" xfId="0" applyFont="1" applyFill="1" applyBorder="1"/>
    <xf numFmtId="0" fontId="1" fillId="0" borderId="1" xfId="0" applyFont="1" applyBorder="1"/>
    <xf numFmtId="0" fontId="3" fillId="0" borderId="3" xfId="0" applyFont="1" applyBorder="1"/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8" fillId="0" borderId="0" xfId="0" applyFont="1"/>
    <xf numFmtId="0" fontId="15" fillId="6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 wrapText="1"/>
    </xf>
    <xf numFmtId="0" fontId="17" fillId="13" borderId="13" xfId="0" applyFont="1" applyFill="1" applyBorder="1" applyAlignment="1">
      <alignment horizontal="center"/>
    </xf>
    <xf numFmtId="0" fontId="16" fillId="7" borderId="0" xfId="0" applyFont="1" applyFill="1" applyAlignment="1">
      <alignment horizontal="left" vertical="center" wrapText="1"/>
    </xf>
  </cellXfs>
  <cellStyles count="1">
    <cellStyle name="Normale" xfId="0" builtinId="0"/>
  </cellStyles>
  <dxfs count="4">
    <dxf>
      <fill>
        <patternFill>
          <bgColor rgb="FFE2F0D9"/>
        </patternFill>
      </fill>
    </dxf>
    <dxf>
      <fill>
        <patternFill>
          <bgColor rgb="FFE2F0D9"/>
        </patternFill>
      </fill>
    </dxf>
    <dxf>
      <fill>
        <patternFill>
          <bgColor rgb="FFE2F0D9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B7C9D6"/>
      <rgbColor rgb="FF888888"/>
      <rgbColor rgb="FF9999FF"/>
      <rgbColor rgb="FF993366"/>
      <rgbColor rgb="FFFFFFCC"/>
      <rgbColor rgb="FFE3F2FD"/>
      <rgbColor rgb="FF660066"/>
      <rgbColor rgb="FFFF8080"/>
      <rgbColor rgb="FF0066CC"/>
      <rgbColor rgb="FFCCCCCC"/>
      <rgbColor rgb="FF000080"/>
      <rgbColor rgb="FFFF00FF"/>
      <rgbColor rgb="FFFFFF00"/>
      <rgbColor rgb="FF00FFFF"/>
      <rgbColor rgb="FF800080"/>
      <rgbColor rgb="FF800000"/>
      <rgbColor rgb="FF008080"/>
      <rgbColor rgb="FF0000CC"/>
      <rgbColor rgb="FF00CCFF"/>
      <rgbColor rgb="FFD9EAF7"/>
      <rgbColor rgb="FFE2F0D9"/>
      <rgbColor rgb="FFFFF2CC"/>
      <rgbColor rgb="FFD9E1F2"/>
      <rgbColor rgb="FFF3F3F3"/>
      <rgbColor rgb="FFDDEBF7"/>
      <rgbColor rgb="FFFCE4D6"/>
      <rgbColor rgb="FF3366FF"/>
      <rgbColor rgb="FF33CCCC"/>
      <rgbColor rgb="FF99CC00"/>
      <rgbColor rgb="FFFFCC00"/>
      <rgbColor rgb="FFFF9900"/>
      <rgbColor rgb="FFFF6600"/>
      <rgbColor rgb="FF666666"/>
      <rgbColor rgb="FF999999"/>
      <rgbColor rgb="FF003366"/>
      <rgbColor rgb="FF2E7D32"/>
      <rgbColor rgb="FF003300"/>
      <rgbColor rgb="FF333300"/>
      <rgbColor rgb="FF993300"/>
      <rgbColor rgb="FF993366"/>
      <rgbColor rgb="FF1F4E78"/>
      <rgbColor rgb="FF1B5E2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1304925</xdr:colOff>
          <xdr:row>9</xdr:row>
          <xdr:rowOff>180975</xdr:rowOff>
        </xdr:from>
        <xdr:to>
          <xdr:col>6</xdr:col>
          <xdr:colOff>9525</xdr:colOff>
          <xdr:row>12</xdr:row>
          <xdr:rowOff>19050</xdr:rowOff>
        </xdr:to>
        <xdr:sp macro="" textlink="">
          <xdr:nvSpPr>
            <xdr:cNvPr id="1001" name="Button 1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0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Inserisci risultato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9525">
          <a:prstDash val="solid"/>
        </a:ln>
        <a:ln w="25400">
          <a:prstDash val="solid"/>
        </a:ln>
        <a:ln w="38100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5"/>
  <dimension ref="A1:G34"/>
  <sheetViews>
    <sheetView showGridLines="0" tabSelected="1" zoomScaleNormal="100" workbookViewId="0">
      <selection activeCell="C11" sqref="C11"/>
    </sheetView>
  </sheetViews>
  <sheetFormatPr defaultColWidth="8.7109375" defaultRowHeight="15" x14ac:dyDescent="0.25"/>
  <cols>
    <col min="1" max="1" width="22" customWidth="1"/>
    <col min="2" max="2" width="18" customWidth="1"/>
    <col min="3" max="3" width="14" customWidth="1"/>
    <col min="4" max="4" width="20" customWidth="1"/>
    <col min="5" max="5" width="16" customWidth="1"/>
    <col min="6" max="6" width="14" customWidth="1"/>
    <col min="7" max="7" width="3" customWidth="1"/>
  </cols>
  <sheetData>
    <row r="1" spans="1:7" ht="18.75" customHeight="1" x14ac:dyDescent="0.3">
      <c r="A1" s="46" t="s">
        <v>0</v>
      </c>
      <c r="B1" s="46"/>
      <c r="C1" s="46"/>
      <c r="D1" s="46"/>
      <c r="E1" s="46"/>
      <c r="F1" s="46"/>
      <c r="G1" s="3">
        <f>IF(B6="Sì",B9,B8)</f>
        <v>0</v>
      </c>
    </row>
    <row r="2" spans="1:7" x14ac:dyDescent="0.25">
      <c r="A2" s="47" t="s">
        <v>1</v>
      </c>
      <c r="B2" s="47"/>
      <c r="C2" s="47"/>
      <c r="D2" s="47"/>
      <c r="E2" s="47"/>
      <c r="F2" s="47"/>
      <c r="G2" s="4"/>
    </row>
    <row r="3" spans="1:7" x14ac:dyDescent="0.25">
      <c r="A3" s="1"/>
      <c r="G3" s="4"/>
    </row>
    <row r="4" spans="1:7" x14ac:dyDescent="0.25">
      <c r="A4" s="5" t="s">
        <v>2</v>
      </c>
      <c r="B4" s="2">
        <v>9</v>
      </c>
      <c r="D4" s="6" t="s">
        <v>3</v>
      </c>
      <c r="E4" s="7">
        <f ca="1">IF(B4="","--",SUMPRODUCT(--(INDIRECT("Tappe!"&amp;CHAR(64+2+B4)&amp;"5:"&amp;CHAR(64+2+B4)&amp;"26")&lt;&gt;0),--(INDIRECT("Tappe!"&amp;CHAR(64+2+B4)&amp;"5:"&amp;CHAR(64+2+B4)&amp;"26")&lt;&gt;"")))</f>
        <v>0</v>
      </c>
      <c r="G4" s="4"/>
    </row>
    <row r="5" spans="1:7" x14ac:dyDescent="0.25">
      <c r="A5" s="1"/>
      <c r="G5" s="4"/>
    </row>
    <row r="6" spans="1:7" x14ac:dyDescent="0.25">
      <c r="A6" s="5" t="s">
        <v>4</v>
      </c>
      <c r="B6" s="2" t="s">
        <v>94</v>
      </c>
      <c r="G6" s="4"/>
    </row>
    <row r="7" spans="1:7" x14ac:dyDescent="0.25">
      <c r="A7" s="1"/>
      <c r="G7" s="4"/>
    </row>
    <row r="8" spans="1:7" x14ac:dyDescent="0.25">
      <c r="A8" s="41" t="s">
        <v>5</v>
      </c>
      <c r="B8" s="48"/>
      <c r="C8" s="49"/>
      <c r="G8" s="4"/>
    </row>
    <row r="9" spans="1:7" x14ac:dyDescent="0.25">
      <c r="A9" s="8" t="s">
        <v>6</v>
      </c>
      <c r="B9" s="50"/>
      <c r="C9" s="50"/>
      <c r="D9" s="51" t="s">
        <v>7</v>
      </c>
      <c r="E9" s="51"/>
      <c r="F9" s="51"/>
      <c r="G9" s="4"/>
    </row>
    <row r="10" spans="1:7" ht="15.75" customHeight="1" x14ac:dyDescent="0.25">
      <c r="A10" s="1"/>
      <c r="G10" s="4"/>
    </row>
    <row r="11" spans="1:7" ht="21.75" customHeight="1" x14ac:dyDescent="0.25">
      <c r="A11" s="5" t="s">
        <v>8</v>
      </c>
      <c r="B11" s="2"/>
      <c r="E11" s="43" t="s">
        <v>9</v>
      </c>
      <c r="F11" s="43"/>
      <c r="G11" s="4"/>
    </row>
    <row r="12" spans="1:7" ht="21.75" customHeight="1" x14ac:dyDescent="0.25">
      <c r="A12" s="1"/>
      <c r="E12" s="43"/>
      <c r="F12" s="43"/>
      <c r="G12" s="4"/>
    </row>
    <row r="13" spans="1:7" x14ac:dyDescent="0.25">
      <c r="A13" s="9" t="s">
        <v>10</v>
      </c>
      <c r="B13" s="44" t="str">
        <f>IF(B11="","--",IF(B11=12,"4-0-0",IF(B11=10,"3-0-1",IF(B11=9,"3-1-0",IF(B11=8,"2-0-2",IF(B11=7,"2-1-1",IF(B11=6,"2-2-0 / 1-0-3",IF(B11=5,"1-1-2",IF(B11=4,"1-2-1 / 0-0-4",IF(B11=3,"1-3-0 / 0-1-3",IF(B11=2,"0-2-2",IF(B11=1,"0-3-1",IF(B11=0,"0-4-0","N/A")))))))))))))</f>
        <v>--</v>
      </c>
      <c r="C13" s="44"/>
      <c r="E13" s="10"/>
      <c r="F13" s="10"/>
      <c r="G13" s="4"/>
    </row>
    <row r="14" spans="1:7" x14ac:dyDescent="0.25">
      <c r="A14" s="9" t="s">
        <v>11</v>
      </c>
      <c r="B14" s="11">
        <f>IF(B11="",0,IF(B11=12,8,IF(B11=10,6,IF(B11=9,4,IF(B11=8,3,IF(B11=7,2,IF(B11=6,1,0)))))))</f>
        <v>0</v>
      </c>
      <c r="G14" s="4"/>
    </row>
    <row r="15" spans="1:7" x14ac:dyDescent="0.25">
      <c r="A15" s="9" t="s">
        <v>12</v>
      </c>
      <c r="B15" s="12">
        <f>IF(G1="","--",IF(COUNTIF(Tappe!B5:B26,G1)=0,0,INDEX(Tappe!Q5:Q26,MATCH(G1,Tappe!B5:B26,0))))</f>
        <v>0</v>
      </c>
      <c r="G15" s="4"/>
    </row>
    <row r="16" spans="1:7" x14ac:dyDescent="0.25">
      <c r="A16" s="9" t="s">
        <v>13</v>
      </c>
      <c r="B16" s="11">
        <f>IF(G1="",0,IF(B15="--",1,IF(B15&lt;5,1,2)))</f>
        <v>1</v>
      </c>
      <c r="G16" s="4"/>
    </row>
    <row r="17" spans="1:7" x14ac:dyDescent="0.25">
      <c r="A17" s="1"/>
      <c r="G17" s="4"/>
    </row>
    <row r="18" spans="1:7" ht="18.75" customHeight="1" x14ac:dyDescent="0.3">
      <c r="A18" s="13" t="s">
        <v>14</v>
      </c>
      <c r="B18" s="14" t="str">
        <f>IF(OR(G1="",B11=""),"--",B11+B14+B16)</f>
        <v>--</v>
      </c>
      <c r="G18" s="4"/>
    </row>
    <row r="19" spans="1:7" x14ac:dyDescent="0.25">
      <c r="A19" s="9" t="s">
        <v>15</v>
      </c>
      <c r="B19" s="45" t="str">
        <f>IF(B18="--","--",IF(B14&gt;0,B11&amp;"+"&amp;B16&amp;"+"&amp;B14,B11&amp;"+"&amp;B16))</f>
        <v>--</v>
      </c>
      <c r="C19" s="45"/>
      <c r="G19" s="4"/>
    </row>
    <row r="20" spans="1:7" x14ac:dyDescent="0.25">
      <c r="A20" s="1"/>
      <c r="G20" s="4"/>
    </row>
    <row r="21" spans="1:7" x14ac:dyDescent="0.25">
      <c r="A21" s="5" t="s">
        <v>16</v>
      </c>
      <c r="G21" s="4"/>
    </row>
    <row r="22" spans="1:7" x14ac:dyDescent="0.25">
      <c r="A22" s="42" t="s">
        <v>17</v>
      </c>
      <c r="B22" s="42"/>
      <c r="C22" s="42"/>
      <c r="D22" s="42"/>
      <c r="E22" s="42"/>
      <c r="F22" s="42"/>
      <c r="G22" s="4"/>
    </row>
    <row r="23" spans="1:7" x14ac:dyDescent="0.25">
      <c r="A23" s="42" t="s">
        <v>18</v>
      </c>
      <c r="B23" s="42"/>
      <c r="C23" s="42"/>
      <c r="D23" s="42"/>
      <c r="E23" s="42"/>
      <c r="F23" s="42"/>
      <c r="G23" s="4"/>
    </row>
    <row r="24" spans="1:7" x14ac:dyDescent="0.25">
      <c r="A24" s="42" t="s">
        <v>19</v>
      </c>
      <c r="B24" s="42"/>
      <c r="C24" s="42"/>
      <c r="D24" s="42"/>
      <c r="E24" s="42"/>
      <c r="F24" s="42"/>
      <c r="G24" s="4"/>
    </row>
    <row r="25" spans="1:7" x14ac:dyDescent="0.25">
      <c r="A25" s="1"/>
      <c r="G25" s="4"/>
    </row>
    <row r="26" spans="1:7" x14ac:dyDescent="0.25">
      <c r="A26" s="5" t="s">
        <v>20</v>
      </c>
      <c r="G26" s="4"/>
    </row>
    <row r="27" spans="1:7" x14ac:dyDescent="0.25">
      <c r="A27" s="15" t="s">
        <v>21</v>
      </c>
      <c r="B27" s="16" t="s">
        <v>22</v>
      </c>
      <c r="C27" s="16" t="s">
        <v>23</v>
      </c>
      <c r="G27" s="4"/>
    </row>
    <row r="28" spans="1:7" x14ac:dyDescent="0.25">
      <c r="A28" s="17" t="s">
        <v>24</v>
      </c>
      <c r="B28" s="18">
        <v>12</v>
      </c>
      <c r="C28" s="18">
        <v>8</v>
      </c>
      <c r="G28" s="4"/>
    </row>
    <row r="29" spans="1:7" x14ac:dyDescent="0.25">
      <c r="A29" s="17" t="s">
        <v>25</v>
      </c>
      <c r="B29" s="18">
        <v>10</v>
      </c>
      <c r="C29" s="18">
        <v>6</v>
      </c>
      <c r="G29" s="4"/>
    </row>
    <row r="30" spans="1:7" x14ac:dyDescent="0.25">
      <c r="A30" s="17" t="s">
        <v>26</v>
      </c>
      <c r="B30" s="18">
        <v>9</v>
      </c>
      <c r="C30" s="18">
        <v>4</v>
      </c>
      <c r="G30" s="4"/>
    </row>
    <row r="31" spans="1:7" x14ac:dyDescent="0.25">
      <c r="A31" s="17" t="s">
        <v>27</v>
      </c>
      <c r="B31" s="18">
        <v>8</v>
      </c>
      <c r="C31" s="18">
        <v>3</v>
      </c>
      <c r="G31" s="4"/>
    </row>
    <row r="32" spans="1:7" x14ac:dyDescent="0.25">
      <c r="A32" s="17" t="s">
        <v>28</v>
      </c>
      <c r="B32" s="18">
        <v>7</v>
      </c>
      <c r="C32" s="18">
        <v>2</v>
      </c>
      <c r="G32" s="4"/>
    </row>
    <row r="33" spans="1:7" x14ac:dyDescent="0.25">
      <c r="A33" s="17" t="s">
        <v>29</v>
      </c>
      <c r="B33" s="18">
        <v>6</v>
      </c>
      <c r="C33" s="18">
        <v>1</v>
      </c>
      <c r="G33" s="4"/>
    </row>
    <row r="34" spans="1:7" ht="15.75" customHeight="1" x14ac:dyDescent="0.25">
      <c r="A34" s="19"/>
      <c r="B34" s="20"/>
      <c r="C34" s="20"/>
      <c r="D34" s="20"/>
      <c r="E34" s="20"/>
      <c r="F34" s="20"/>
      <c r="G34" s="21"/>
    </row>
  </sheetData>
  <mergeCells count="11">
    <mergeCell ref="A1:F1"/>
    <mergeCell ref="A2:F2"/>
    <mergeCell ref="B8:C8"/>
    <mergeCell ref="B9:C9"/>
    <mergeCell ref="D9:F9"/>
    <mergeCell ref="A24:F24"/>
    <mergeCell ref="E11:F12"/>
    <mergeCell ref="B13:C13"/>
    <mergeCell ref="B19:C19"/>
    <mergeCell ref="A22:F22"/>
    <mergeCell ref="A23:F23"/>
  </mergeCells>
  <dataValidations count="3">
    <dataValidation type="list" allowBlank="1" showInputMessage="1" showErrorMessage="1" errorTitle="Tappa non valida" error="Seleziona un numero da 1 a 12." promptTitle="Tappa" prompt="Seleziona la tappa" sqref="B4" xr:uid="{00000000-0002-0000-0000-000000000000}">
      <formula1>"1,2,3,4,5,6,7,8,9,10,11,12"</formula1>
      <formula2>0</formula2>
    </dataValidation>
    <dataValidation type="list" showErrorMessage="1" sqref="B6" xr:uid="{00000000-0002-0000-0000-000001000000}">
      <formula1>"No,Sì"</formula1>
      <formula2>0</formula2>
    </dataValidation>
    <dataValidation type="whole" allowBlank="1" showInputMessage="1" showErrorMessage="1" errorTitle="Punti non validi" error="Inserisci un numero intero tra 0 e 12." promptTitle="Punti" prompt="Punti effettivi (3×vittorie + pareggi)" sqref="B11" xr:uid="{00000000-0002-0000-0000-000002000000}">
      <formula1>0</formula1>
      <formula2>12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0" autoFill="0" autoPict="0" macro="Modulo1.InserisciRisultato">
                <anchor moveWithCells="1">
                  <from>
                    <xdr:col>3</xdr:col>
                    <xdr:colOff>1304925</xdr:colOff>
                    <xdr:row>9</xdr:row>
                    <xdr:rowOff>180975</xdr:rowOff>
                  </from>
                  <to>
                    <xdr:col>6</xdr:col>
                    <xdr:colOff>9525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Giocatore non trovato" error="Seleziona un giocatore dalla lista." promptTitle="Giocatore" prompt="Seleziona un giocatore esistente" xr:uid="{ED1607E1-90ED-40F1-BED9-20AD32B68ECC}">
          <x14:formula1>
            <xm:f>Tappe!$B$5:$B$26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/>
  <dimension ref="A1:T41"/>
  <sheetViews>
    <sheetView showGridLines="0" zoomScaleNormal="100" workbookViewId="0">
      <selection activeCell="H31" sqref="H31"/>
    </sheetView>
  </sheetViews>
  <sheetFormatPr defaultColWidth="8.7109375" defaultRowHeight="15" x14ac:dyDescent="0.25"/>
  <cols>
    <col min="1" max="1" width="4.85546875" bestFit="1" customWidth="1"/>
    <col min="2" max="2" width="20.85546875" bestFit="1" customWidth="1"/>
    <col min="3" max="11" width="7.7109375" bestFit="1" customWidth="1"/>
    <col min="12" max="14" width="8.7109375" bestFit="1" customWidth="1"/>
    <col min="15" max="15" width="6.28515625" bestFit="1" customWidth="1"/>
    <col min="16" max="16" width="9.42578125" bestFit="1" customWidth="1"/>
    <col min="17" max="17" width="13.7109375" bestFit="1" customWidth="1"/>
    <col min="18" max="18" width="6.5703125" bestFit="1" customWidth="1"/>
    <col min="19" max="19" width="9.5703125" bestFit="1" customWidth="1"/>
    <col min="20" max="20" width="13" customWidth="1"/>
  </cols>
  <sheetData>
    <row r="1" spans="1:20" ht="24" customHeight="1" x14ac:dyDescent="0.25">
      <c r="A1" s="52" t="s">
        <v>30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</row>
    <row r="2" spans="1:20" ht="31.5" customHeight="1" x14ac:dyDescent="0.25">
      <c r="A2" s="53" t="s">
        <v>31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</row>
    <row r="3" spans="1:20" ht="14.2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20" ht="30" x14ac:dyDescent="0.25">
      <c r="A4" s="23" t="s">
        <v>32</v>
      </c>
      <c r="B4" s="23" t="s">
        <v>33</v>
      </c>
      <c r="C4" s="23" t="s">
        <v>34</v>
      </c>
      <c r="D4" s="23" t="s">
        <v>35</v>
      </c>
      <c r="E4" s="23" t="s">
        <v>36</v>
      </c>
      <c r="F4" s="23" t="s">
        <v>37</v>
      </c>
      <c r="G4" s="23" t="s">
        <v>38</v>
      </c>
      <c r="H4" s="23" t="s">
        <v>39</v>
      </c>
      <c r="I4" s="23" t="s">
        <v>40</v>
      </c>
      <c r="J4" s="23" t="s">
        <v>41</v>
      </c>
      <c r="K4" s="23" t="s">
        <v>42</v>
      </c>
      <c r="L4" s="23" t="s">
        <v>43</v>
      </c>
      <c r="M4" s="23" t="s">
        <v>44</v>
      </c>
      <c r="N4" s="23" t="s">
        <v>45</v>
      </c>
      <c r="O4" s="40" t="s">
        <v>93</v>
      </c>
      <c r="P4" s="23" t="s">
        <v>47</v>
      </c>
      <c r="Q4" s="23" t="s">
        <v>48</v>
      </c>
      <c r="R4" s="23" t="s">
        <v>49</v>
      </c>
      <c r="S4" s="23" t="s">
        <v>50</v>
      </c>
      <c r="T4" s="23"/>
    </row>
    <row r="5" spans="1:20" ht="14.25" customHeight="1" x14ac:dyDescent="0.25">
      <c r="A5" s="24">
        <v>1</v>
      </c>
      <c r="B5" s="25" t="s">
        <v>51</v>
      </c>
      <c r="C5" s="26">
        <v>0</v>
      </c>
      <c r="D5" s="26">
        <f>9+1+4</f>
        <v>14</v>
      </c>
      <c r="E5" s="26">
        <f>6+1+1</f>
        <v>8</v>
      </c>
      <c r="F5" s="26">
        <f>9+1+4</f>
        <v>14</v>
      </c>
      <c r="G5" s="26">
        <f>6+1+1</f>
        <v>8</v>
      </c>
      <c r="H5" s="26">
        <v>0</v>
      </c>
      <c r="I5" s="26">
        <v>0</v>
      </c>
      <c r="J5" s="26">
        <v>0</v>
      </c>
      <c r="K5" s="26">
        <v>0</v>
      </c>
      <c r="L5" s="26">
        <v>0</v>
      </c>
      <c r="M5" s="26"/>
      <c r="N5" s="26"/>
      <c r="O5" s="27">
        <f>SUMPRODUCT(LARGE(C5:N5,{1,2,3,4,5,6,7,8}))</f>
        <v>44</v>
      </c>
      <c r="P5" s="28">
        <f t="shared" ref="P5:P26" si="0">O5-LARGE($O$5:$O$26,8)</f>
        <v>6</v>
      </c>
      <c r="Q5" s="28">
        <f t="shared" ref="Q5:Q26" si="1">COUNTIF(C5:N5,"&gt;0")</f>
        <v>4</v>
      </c>
      <c r="R5" s="29">
        <f t="shared" ref="R5:R26" si="2">SUM(C5:N5)</f>
        <v>44</v>
      </c>
      <c r="S5" s="30">
        <f>RANK(O5,$O$5:$O$26,0)+COUNTIFS($O$5:O5,O5)-1</f>
        <v>6</v>
      </c>
      <c r="T5" s="30"/>
    </row>
    <row r="6" spans="1:20" ht="14.25" customHeight="1" x14ac:dyDescent="0.25">
      <c r="A6" s="24">
        <v>2</v>
      </c>
      <c r="B6" s="25" t="s">
        <v>52</v>
      </c>
      <c r="C6" s="26">
        <v>0</v>
      </c>
      <c r="D6" s="26">
        <v>0</v>
      </c>
      <c r="E6" s="26">
        <f>3+1</f>
        <v>4</v>
      </c>
      <c r="F6" s="26">
        <v>0</v>
      </c>
      <c r="G6" s="26">
        <v>0</v>
      </c>
      <c r="H6" s="26">
        <f>6+1+1</f>
        <v>8</v>
      </c>
      <c r="I6" s="26">
        <f>3+1</f>
        <v>4</v>
      </c>
      <c r="J6" s="26">
        <v>0</v>
      </c>
      <c r="K6" s="26">
        <v>0</v>
      </c>
      <c r="L6" s="26">
        <v>0</v>
      </c>
      <c r="M6" s="26"/>
      <c r="N6" s="26"/>
      <c r="O6" s="27">
        <f>SUMPRODUCT(LARGE(C6:N6,{1,2,3,4,5,6,7,8}))</f>
        <v>16</v>
      </c>
      <c r="P6" s="28">
        <f t="shared" si="0"/>
        <v>-22</v>
      </c>
      <c r="Q6" s="28">
        <f t="shared" si="1"/>
        <v>3</v>
      </c>
      <c r="R6" s="29">
        <f t="shared" si="2"/>
        <v>16</v>
      </c>
      <c r="S6" s="30">
        <f>RANK(O6,$O$5:$O$26,0)+COUNTIFS($O$5:O6,O6)-1</f>
        <v>14</v>
      </c>
      <c r="T6" s="30"/>
    </row>
    <row r="7" spans="1:20" ht="14.25" customHeight="1" x14ac:dyDescent="0.25">
      <c r="A7" s="24">
        <v>3</v>
      </c>
      <c r="B7" s="25" t="s">
        <v>53</v>
      </c>
      <c r="C7" s="26">
        <v>0</v>
      </c>
      <c r="D7" s="26">
        <f>9+1+4</f>
        <v>14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  <c r="L7" s="26">
        <v>0</v>
      </c>
      <c r="M7" s="26"/>
      <c r="N7" s="26"/>
      <c r="O7" s="27">
        <f>SUMPRODUCT(LARGE(C7:N7,{1,2,3,4,5,6,7,8}))</f>
        <v>14</v>
      </c>
      <c r="P7" s="28">
        <f t="shared" si="0"/>
        <v>-24</v>
      </c>
      <c r="Q7" s="28">
        <f t="shared" si="1"/>
        <v>1</v>
      </c>
      <c r="R7" s="29">
        <f t="shared" si="2"/>
        <v>14</v>
      </c>
      <c r="S7" s="30">
        <f>RANK(O7,$O$5:$O$26,0)+COUNTIFS($O$5:O7,O7)-1</f>
        <v>15</v>
      </c>
      <c r="T7" s="30"/>
    </row>
    <row r="8" spans="1:20" ht="14.25" customHeight="1" x14ac:dyDescent="0.25">
      <c r="A8" s="24">
        <v>4</v>
      </c>
      <c r="B8" s="25" t="s">
        <v>54</v>
      </c>
      <c r="C8" s="26">
        <v>0</v>
      </c>
      <c r="D8" s="26">
        <f>6+1+1</f>
        <v>8</v>
      </c>
      <c r="E8" s="26">
        <f>9+1+4</f>
        <v>14</v>
      </c>
      <c r="F8" s="26">
        <f>6+1+1</f>
        <v>8</v>
      </c>
      <c r="G8" s="26">
        <v>0</v>
      </c>
      <c r="H8" s="26">
        <v>0</v>
      </c>
      <c r="I8" s="26">
        <f>6+1+1</f>
        <v>8</v>
      </c>
      <c r="J8" s="26">
        <v>0</v>
      </c>
      <c r="K8" s="26">
        <v>0</v>
      </c>
      <c r="L8" s="26">
        <v>0</v>
      </c>
      <c r="M8" s="26"/>
      <c r="N8" s="26"/>
      <c r="O8" s="27">
        <f>SUMPRODUCT(LARGE(C8:N8,{1,2,3,4,5,6,7,8}))</f>
        <v>38</v>
      </c>
      <c r="P8" s="28">
        <f t="shared" si="0"/>
        <v>0</v>
      </c>
      <c r="Q8" s="28">
        <f t="shared" si="1"/>
        <v>4</v>
      </c>
      <c r="R8" s="29">
        <f t="shared" si="2"/>
        <v>38</v>
      </c>
      <c r="S8" s="30">
        <f>RANK(O8,$O$5:$O$26,0)+COUNTIFS($O$5:O8,O8)-1</f>
        <v>8</v>
      </c>
      <c r="T8" s="30"/>
    </row>
    <row r="9" spans="1:20" ht="14.25" customHeight="1" x14ac:dyDescent="0.25">
      <c r="A9" s="24">
        <v>5</v>
      </c>
      <c r="B9" s="25" t="s">
        <v>55</v>
      </c>
      <c r="C9" s="26">
        <f>9+1+4</f>
        <v>14</v>
      </c>
      <c r="D9" s="26">
        <f>3+1</f>
        <v>4</v>
      </c>
      <c r="E9" s="26">
        <f>7+1+2</f>
        <v>10</v>
      </c>
      <c r="F9" s="26">
        <f>10+1+6</f>
        <v>17</v>
      </c>
      <c r="G9" s="26">
        <f>9+1+4</f>
        <v>14</v>
      </c>
      <c r="H9" s="26">
        <f>9+2+4</f>
        <v>15</v>
      </c>
      <c r="I9" s="26">
        <f>9+2+4</f>
        <v>15</v>
      </c>
      <c r="J9" s="26">
        <v>0</v>
      </c>
      <c r="K9" s="26">
        <v>0</v>
      </c>
      <c r="L9" s="26">
        <v>0</v>
      </c>
      <c r="M9" s="26"/>
      <c r="N9" s="26"/>
      <c r="O9" s="27">
        <f>SUMPRODUCT(LARGE(C9:N9,{1,2,3,4,5,6,7,8}))</f>
        <v>89</v>
      </c>
      <c r="P9" s="28">
        <f t="shared" si="0"/>
        <v>51</v>
      </c>
      <c r="Q9" s="28">
        <f t="shared" si="1"/>
        <v>7</v>
      </c>
      <c r="R9" s="29">
        <f t="shared" si="2"/>
        <v>89</v>
      </c>
      <c r="S9" s="30">
        <f>RANK(O9,$O$5:$O$26,0)+COUNTIFS($O$5:O9,O9)-1</f>
        <v>1</v>
      </c>
      <c r="T9" s="30"/>
    </row>
    <row r="10" spans="1:20" ht="14.25" customHeight="1" x14ac:dyDescent="0.25">
      <c r="A10" s="24">
        <v>6</v>
      </c>
      <c r="B10" s="25" t="s">
        <v>56</v>
      </c>
      <c r="C10" s="26">
        <v>0</v>
      </c>
      <c r="D10" s="26">
        <f>4+1</f>
        <v>5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/>
      <c r="N10" s="26"/>
      <c r="O10" s="27">
        <f>SUMPRODUCT(LARGE(C10:N10,{1,2,3,4,5,6,7,8}))</f>
        <v>5</v>
      </c>
      <c r="P10" s="28">
        <f t="shared" si="0"/>
        <v>-33</v>
      </c>
      <c r="Q10" s="28">
        <f t="shared" si="1"/>
        <v>1</v>
      </c>
      <c r="R10" s="29">
        <f t="shared" si="2"/>
        <v>5</v>
      </c>
      <c r="S10" s="30">
        <f>RANK(O10,$O$5:$O$26,0)+COUNTIFS($O$5:O10,O10)-1</f>
        <v>19</v>
      </c>
      <c r="T10" s="30"/>
    </row>
    <row r="11" spans="1:20" ht="14.25" customHeight="1" x14ac:dyDescent="0.25">
      <c r="A11" s="24">
        <v>7</v>
      </c>
      <c r="B11" s="25" t="s">
        <v>57</v>
      </c>
      <c r="C11" s="26">
        <f>7+1+2</f>
        <v>10</v>
      </c>
      <c r="D11" s="26">
        <f>0+1</f>
        <v>1</v>
      </c>
      <c r="E11" s="26">
        <f>12+1+8</f>
        <v>21</v>
      </c>
      <c r="F11" s="26">
        <f>6+1+1</f>
        <v>8</v>
      </c>
      <c r="G11" s="26">
        <f>6+1+1</f>
        <v>8</v>
      </c>
      <c r="H11" s="26">
        <f>9+2+4</f>
        <v>15</v>
      </c>
      <c r="I11" s="26">
        <f>4+2</f>
        <v>6</v>
      </c>
      <c r="J11" s="26">
        <v>0</v>
      </c>
      <c r="K11" s="26">
        <v>0</v>
      </c>
      <c r="L11" s="26">
        <v>0</v>
      </c>
      <c r="M11" s="26"/>
      <c r="N11" s="26"/>
      <c r="O11" s="27">
        <f>SUMPRODUCT(LARGE(C11:N11,{1,2,3,4,5,6,7,8}))</f>
        <v>69</v>
      </c>
      <c r="P11" s="28">
        <f t="shared" si="0"/>
        <v>31</v>
      </c>
      <c r="Q11" s="28">
        <f t="shared" si="1"/>
        <v>7</v>
      </c>
      <c r="R11" s="29">
        <f t="shared" si="2"/>
        <v>69</v>
      </c>
      <c r="S11" s="30">
        <f>RANK(O11,$O$5:$O$26,0)+COUNTIFS($O$5:O11,O11)-1</f>
        <v>3</v>
      </c>
      <c r="T11" s="30"/>
    </row>
    <row r="12" spans="1:20" ht="14.25" customHeight="1" x14ac:dyDescent="0.25">
      <c r="A12" s="24">
        <v>8</v>
      </c>
      <c r="B12" s="25" t="s">
        <v>58</v>
      </c>
      <c r="C12" s="26">
        <v>0</v>
      </c>
      <c r="D12" s="26">
        <v>0</v>
      </c>
      <c r="E12" s="26">
        <f>3+1</f>
        <v>4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/>
      <c r="N12" s="26"/>
      <c r="O12" s="27">
        <f>SUMPRODUCT(LARGE(C12:N12,{1,2,3,4,5,6,7,8}))</f>
        <v>4</v>
      </c>
      <c r="P12" s="28">
        <f t="shared" si="0"/>
        <v>-34</v>
      </c>
      <c r="Q12" s="28">
        <f t="shared" si="1"/>
        <v>1</v>
      </c>
      <c r="R12" s="29">
        <f t="shared" si="2"/>
        <v>4</v>
      </c>
      <c r="S12" s="30">
        <f>RANK(O12,$O$5:$O$26,0)+COUNTIFS($O$5:O12,O12)-1</f>
        <v>20</v>
      </c>
      <c r="T12" s="30"/>
    </row>
    <row r="13" spans="1:20" ht="14.25" customHeight="1" x14ac:dyDescent="0.25">
      <c r="A13" s="24">
        <v>9</v>
      </c>
      <c r="B13" s="25" t="s">
        <v>59</v>
      </c>
      <c r="C13" s="26">
        <v>0</v>
      </c>
      <c r="D13" s="26">
        <v>0</v>
      </c>
      <c r="E13" s="26">
        <f>6+1+1</f>
        <v>8</v>
      </c>
      <c r="F13" s="26">
        <f>6+1+1</f>
        <v>8</v>
      </c>
      <c r="G13" s="26">
        <f>3+1</f>
        <v>4</v>
      </c>
      <c r="H13" s="26">
        <f>4+1</f>
        <v>5</v>
      </c>
      <c r="I13" s="26">
        <v>0</v>
      </c>
      <c r="J13" s="26">
        <v>0</v>
      </c>
      <c r="K13" s="26">
        <v>0</v>
      </c>
      <c r="L13" s="26">
        <v>0</v>
      </c>
      <c r="M13" s="26"/>
      <c r="N13" s="26"/>
      <c r="O13" s="27">
        <f>SUMPRODUCT(LARGE(C13:N13,{1,2,3,4,5,6,7,8}))</f>
        <v>25</v>
      </c>
      <c r="P13" s="28">
        <f t="shared" si="0"/>
        <v>-13</v>
      </c>
      <c r="Q13" s="28">
        <f t="shared" si="1"/>
        <v>4</v>
      </c>
      <c r="R13" s="29">
        <f t="shared" si="2"/>
        <v>25</v>
      </c>
      <c r="S13" s="30">
        <f>RANK(O13,$O$5:$O$26,0)+COUNTIFS($O$5:O13,O13)-1</f>
        <v>9</v>
      </c>
      <c r="T13" s="30"/>
    </row>
    <row r="14" spans="1:20" ht="14.25" customHeight="1" x14ac:dyDescent="0.25">
      <c r="A14" s="24">
        <v>10</v>
      </c>
      <c r="B14" s="25" t="s">
        <v>60</v>
      </c>
      <c r="C14" s="26">
        <v>0</v>
      </c>
      <c r="D14" s="26">
        <f>12+1+8</f>
        <v>21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/>
      <c r="N14" s="26"/>
      <c r="O14" s="27">
        <f>SUMPRODUCT(LARGE(C14:N14,{1,2,3,4,5,6,7,8}))</f>
        <v>21</v>
      </c>
      <c r="P14" s="28">
        <f t="shared" si="0"/>
        <v>-17</v>
      </c>
      <c r="Q14" s="28">
        <f t="shared" si="1"/>
        <v>1</v>
      </c>
      <c r="R14" s="29">
        <f t="shared" si="2"/>
        <v>21</v>
      </c>
      <c r="S14" s="30">
        <f>RANK(O14,$O$5:$O$26,0)+COUNTIFS($O$5:O14,O14)-1</f>
        <v>13</v>
      </c>
      <c r="T14" s="30"/>
    </row>
    <row r="15" spans="1:20" ht="14.25" customHeight="1" x14ac:dyDescent="0.25">
      <c r="A15" s="24">
        <v>11</v>
      </c>
      <c r="B15" s="25" t="s">
        <v>61</v>
      </c>
      <c r="C15" s="26">
        <f>0+1</f>
        <v>1</v>
      </c>
      <c r="D15" s="26">
        <v>0</v>
      </c>
      <c r="E15" s="26">
        <f>0+1</f>
        <v>1</v>
      </c>
      <c r="F15" s="26">
        <v>0</v>
      </c>
      <c r="G15" s="26">
        <v>0</v>
      </c>
      <c r="H15" s="26">
        <v>0</v>
      </c>
      <c r="I15" s="26">
        <v>0</v>
      </c>
      <c r="J15" s="26">
        <v>0</v>
      </c>
      <c r="K15" s="26">
        <v>0</v>
      </c>
      <c r="L15" s="26">
        <v>0</v>
      </c>
      <c r="M15" s="26"/>
      <c r="N15" s="26"/>
      <c r="O15" s="27">
        <f>SUMPRODUCT(LARGE(C15:N15,{1,2,3,4,5,6,7,8}))</f>
        <v>2</v>
      </c>
      <c r="P15" s="28">
        <f t="shared" si="0"/>
        <v>-36</v>
      </c>
      <c r="Q15" s="28">
        <f t="shared" si="1"/>
        <v>2</v>
      </c>
      <c r="R15" s="29">
        <f t="shared" si="2"/>
        <v>2</v>
      </c>
      <c r="S15" s="30">
        <f>RANK(O15,$O$5:$O$26,0)+COUNTIFS($O$5:O15,O15)-1</f>
        <v>21</v>
      </c>
      <c r="T15" s="30"/>
    </row>
    <row r="16" spans="1:20" ht="14.25" customHeight="1" x14ac:dyDescent="0.25">
      <c r="A16" s="24">
        <v>12</v>
      </c>
      <c r="B16" s="25" t="s">
        <v>62</v>
      </c>
      <c r="C16" s="26">
        <f>9+1+4</f>
        <v>14</v>
      </c>
      <c r="D16" s="26">
        <f>4+1</f>
        <v>5</v>
      </c>
      <c r="E16" s="26">
        <f>6+1+1</f>
        <v>8</v>
      </c>
      <c r="F16" s="26">
        <f>9+1+4</f>
        <v>14</v>
      </c>
      <c r="G16" s="26">
        <f>6+1+1</f>
        <v>8</v>
      </c>
      <c r="H16" s="26">
        <f>3+2</f>
        <v>5</v>
      </c>
      <c r="I16" s="26">
        <v>0</v>
      </c>
      <c r="J16" s="26">
        <v>0</v>
      </c>
      <c r="K16" s="26">
        <v>0</v>
      </c>
      <c r="L16" s="26">
        <v>0</v>
      </c>
      <c r="M16" s="26"/>
      <c r="N16" s="26"/>
      <c r="O16" s="27">
        <f>SUMPRODUCT(LARGE(C16:N16,{1,2,3,4,5,6,7,8}))</f>
        <v>54</v>
      </c>
      <c r="P16" s="28">
        <f t="shared" si="0"/>
        <v>16</v>
      </c>
      <c r="Q16" s="28">
        <f t="shared" si="1"/>
        <v>6</v>
      </c>
      <c r="R16" s="29">
        <f t="shared" si="2"/>
        <v>54</v>
      </c>
      <c r="S16" s="30">
        <f>RANK(O16,$O$5:$O$26,0)+COUNTIFS($O$5:O16,O16)-1</f>
        <v>5</v>
      </c>
      <c r="T16" s="30"/>
    </row>
    <row r="17" spans="1:20" ht="14.25" customHeight="1" x14ac:dyDescent="0.25">
      <c r="A17" s="24">
        <v>13</v>
      </c>
      <c r="B17" s="25" t="s">
        <v>63</v>
      </c>
      <c r="C17" s="26">
        <f>4+1</f>
        <v>5</v>
      </c>
      <c r="D17" s="26">
        <f>6+1+1</f>
        <v>8</v>
      </c>
      <c r="E17" s="26">
        <v>0</v>
      </c>
      <c r="F17" s="26">
        <v>0</v>
      </c>
      <c r="G17" s="26">
        <v>0</v>
      </c>
      <c r="H17" s="26">
        <v>0</v>
      </c>
      <c r="I17" s="26">
        <v>0</v>
      </c>
      <c r="J17" s="26">
        <v>0</v>
      </c>
      <c r="K17" s="26">
        <v>0</v>
      </c>
      <c r="L17" s="26">
        <v>0</v>
      </c>
      <c r="M17" s="26"/>
      <c r="N17" s="26"/>
      <c r="O17" s="27">
        <f>SUMPRODUCT(LARGE(C17:N17,{1,2,3,4,5,6,7,8}))</f>
        <v>13</v>
      </c>
      <c r="P17" s="28">
        <f t="shared" si="0"/>
        <v>-25</v>
      </c>
      <c r="Q17" s="28">
        <f t="shared" si="1"/>
        <v>2</v>
      </c>
      <c r="R17" s="29">
        <f t="shared" si="2"/>
        <v>13</v>
      </c>
      <c r="S17" s="30">
        <f>RANK(O17,$O$5:$O$26,0)+COUNTIFS($O$5:O17,O17)-1</f>
        <v>17</v>
      </c>
      <c r="T17" s="30"/>
    </row>
    <row r="18" spans="1:20" ht="14.25" customHeight="1" x14ac:dyDescent="0.25">
      <c r="A18" s="24">
        <v>14</v>
      </c>
      <c r="B18" s="25" t="s">
        <v>64</v>
      </c>
      <c r="C18" s="26">
        <v>0</v>
      </c>
      <c r="D18" s="26">
        <f>9+1+4</f>
        <v>14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/>
      <c r="N18" s="26"/>
      <c r="O18" s="27">
        <f>SUMPRODUCT(LARGE(C18:N18,{1,2,3,4,5,6,7,8}))</f>
        <v>14</v>
      </c>
      <c r="P18" s="28">
        <f t="shared" si="0"/>
        <v>-24</v>
      </c>
      <c r="Q18" s="28">
        <f t="shared" si="1"/>
        <v>1</v>
      </c>
      <c r="R18" s="29">
        <f t="shared" si="2"/>
        <v>14</v>
      </c>
      <c r="S18" s="30">
        <f>RANK(O18,$O$5:$O$26,0)+COUNTIFS($O$5:O18,O18)-1</f>
        <v>16</v>
      </c>
      <c r="T18" s="30"/>
    </row>
    <row r="19" spans="1:20" ht="14.25" customHeight="1" x14ac:dyDescent="0.25">
      <c r="A19" s="24">
        <v>15</v>
      </c>
      <c r="B19" s="25" t="s">
        <v>65</v>
      </c>
      <c r="C19" s="26">
        <v>0</v>
      </c>
      <c r="D19" s="26">
        <v>0</v>
      </c>
      <c r="E19" s="26">
        <v>0</v>
      </c>
      <c r="F19" s="26">
        <v>0</v>
      </c>
      <c r="G19" s="26">
        <v>0</v>
      </c>
      <c r="H19" s="26">
        <f>1+1</f>
        <v>2</v>
      </c>
      <c r="I19" s="26">
        <v>0</v>
      </c>
      <c r="J19" s="26">
        <v>0</v>
      </c>
      <c r="K19" s="26">
        <v>0</v>
      </c>
      <c r="L19" s="26">
        <v>0</v>
      </c>
      <c r="M19" s="26"/>
      <c r="N19" s="26"/>
      <c r="O19" s="27">
        <f>SUMPRODUCT(LARGE(C19:N19,{1,2,3,4,5,6,7,8}))</f>
        <v>2</v>
      </c>
      <c r="P19" s="28">
        <f t="shared" si="0"/>
        <v>-36</v>
      </c>
      <c r="Q19" s="28">
        <f t="shared" si="1"/>
        <v>1</v>
      </c>
      <c r="R19" s="29">
        <f t="shared" si="2"/>
        <v>2</v>
      </c>
      <c r="S19" s="30">
        <f>RANK(O19,$O$5:$O$26,0)+COUNTIFS($O$5:O19,O19)-1</f>
        <v>22</v>
      </c>
      <c r="T19" s="30"/>
    </row>
    <row r="20" spans="1:20" ht="14.25" customHeight="1" x14ac:dyDescent="0.25">
      <c r="A20" s="24">
        <v>16</v>
      </c>
      <c r="B20" s="25" t="s">
        <v>66</v>
      </c>
      <c r="C20" s="26">
        <v>0</v>
      </c>
      <c r="D20" s="26">
        <v>0</v>
      </c>
      <c r="E20" s="26">
        <f>6+1+1</f>
        <v>8</v>
      </c>
      <c r="F20" s="26">
        <f>6+1+1</f>
        <v>8</v>
      </c>
      <c r="G20" s="26">
        <f>6+1+1</f>
        <v>8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/>
      <c r="N20" s="26"/>
      <c r="O20" s="27">
        <f>SUMPRODUCT(LARGE(C20:N20,{1,2,3,4,5,6,7,8}))</f>
        <v>24</v>
      </c>
      <c r="P20" s="28">
        <f t="shared" si="0"/>
        <v>-14</v>
      </c>
      <c r="Q20" s="28">
        <f t="shared" si="1"/>
        <v>3</v>
      </c>
      <c r="R20" s="29">
        <f t="shared" si="2"/>
        <v>24</v>
      </c>
      <c r="S20" s="30">
        <f>RANK(O20,$O$5:$O$26,0)+COUNTIFS($O$5:O20,O20)-1</f>
        <v>11</v>
      </c>
      <c r="T20" s="30"/>
    </row>
    <row r="21" spans="1:20" ht="14.25" customHeight="1" x14ac:dyDescent="0.25">
      <c r="A21" s="24">
        <v>17</v>
      </c>
      <c r="B21" s="25" t="s">
        <v>67</v>
      </c>
      <c r="C21" s="26">
        <v>0</v>
      </c>
      <c r="D21" s="26">
        <f>6+1+1</f>
        <v>8</v>
      </c>
      <c r="E21" s="26">
        <f>9+1+4</f>
        <v>14</v>
      </c>
      <c r="F21" s="26">
        <f>3+1</f>
        <v>4</v>
      </c>
      <c r="G21" s="26">
        <f>12+1+8</f>
        <v>21</v>
      </c>
      <c r="H21" s="26">
        <f>6+1+1</f>
        <v>8</v>
      </c>
      <c r="I21" s="26">
        <f>9+2+4</f>
        <v>15</v>
      </c>
      <c r="J21" s="26">
        <v>0</v>
      </c>
      <c r="K21" s="26">
        <v>0</v>
      </c>
      <c r="L21" s="26">
        <v>0</v>
      </c>
      <c r="M21" s="26"/>
      <c r="N21" s="26"/>
      <c r="O21" s="27">
        <f>SUMPRODUCT(LARGE(C21:N21,{1,2,3,4,5,6,7,8}))</f>
        <v>70</v>
      </c>
      <c r="P21" s="28">
        <f t="shared" si="0"/>
        <v>32</v>
      </c>
      <c r="Q21" s="28">
        <f t="shared" si="1"/>
        <v>6</v>
      </c>
      <c r="R21" s="29">
        <f t="shared" si="2"/>
        <v>70</v>
      </c>
      <c r="S21" s="30">
        <f>RANK(O21,$O$5:$O$26,0)+COUNTIFS($O$5:O21,O21)-1</f>
        <v>2</v>
      </c>
      <c r="T21" s="30"/>
    </row>
    <row r="22" spans="1:20" ht="14.25" customHeight="1" x14ac:dyDescent="0.25">
      <c r="A22" s="24">
        <v>18</v>
      </c>
      <c r="B22" s="25" t="s">
        <v>68</v>
      </c>
      <c r="C22" s="26">
        <v>0</v>
      </c>
      <c r="D22" s="26">
        <f>3+1</f>
        <v>4</v>
      </c>
      <c r="E22" s="26">
        <f>3+1</f>
        <v>4</v>
      </c>
      <c r="F22" s="26">
        <f>9+1+4</f>
        <v>14</v>
      </c>
      <c r="G22" s="26">
        <v>0</v>
      </c>
      <c r="H22" s="26">
        <f>9+1+4</f>
        <v>14</v>
      </c>
      <c r="I22" s="26">
        <f>6+1+1</f>
        <v>8</v>
      </c>
      <c r="J22" s="26">
        <v>0</v>
      </c>
      <c r="K22" s="26">
        <v>0</v>
      </c>
      <c r="L22" s="26">
        <v>0</v>
      </c>
      <c r="M22" s="26"/>
      <c r="N22" s="26"/>
      <c r="O22" s="27">
        <f>SUMPRODUCT(LARGE(C22:N22,{1,2,3,4,5,6,7,8}))</f>
        <v>44</v>
      </c>
      <c r="P22" s="28">
        <f t="shared" si="0"/>
        <v>6</v>
      </c>
      <c r="Q22" s="28">
        <f t="shared" si="1"/>
        <v>5</v>
      </c>
      <c r="R22" s="29">
        <f t="shared" si="2"/>
        <v>44</v>
      </c>
      <c r="S22" s="30">
        <f>RANK(O22,$O$5:$O$26,0)+COUNTIFS($O$5:O22,O22)-1</f>
        <v>7</v>
      </c>
      <c r="T22" s="30"/>
    </row>
    <row r="23" spans="1:20" ht="14.25" customHeight="1" x14ac:dyDescent="0.25">
      <c r="A23" s="24">
        <v>19</v>
      </c>
      <c r="B23" s="25" t="s">
        <v>69</v>
      </c>
      <c r="C23" s="26">
        <f>6+1+1</f>
        <v>8</v>
      </c>
      <c r="D23" s="26">
        <f>6+1+1</f>
        <v>8</v>
      </c>
      <c r="E23" s="26">
        <f>7+1+2</f>
        <v>10</v>
      </c>
      <c r="F23" s="26">
        <f>4+1</f>
        <v>5</v>
      </c>
      <c r="G23" s="26">
        <f>6+1+1</f>
        <v>8</v>
      </c>
      <c r="H23" s="26">
        <f>9+2+4</f>
        <v>15</v>
      </c>
      <c r="I23" s="26">
        <f>6+2+1</f>
        <v>9</v>
      </c>
      <c r="J23" s="26">
        <v>0</v>
      </c>
      <c r="K23" s="26">
        <v>0</v>
      </c>
      <c r="L23" s="26">
        <v>0</v>
      </c>
      <c r="M23" s="26"/>
      <c r="N23" s="26"/>
      <c r="O23" s="27">
        <f>SUMPRODUCT(LARGE(C23:N23,{1,2,3,4,5,6,7,8}))</f>
        <v>63</v>
      </c>
      <c r="P23" s="28">
        <f t="shared" si="0"/>
        <v>25</v>
      </c>
      <c r="Q23" s="28">
        <f t="shared" si="1"/>
        <v>7</v>
      </c>
      <c r="R23" s="29">
        <f t="shared" si="2"/>
        <v>63</v>
      </c>
      <c r="S23" s="30">
        <f>RANK(O23,$O$5:$O$26,0)+COUNTIFS($O$5:O23,O23)-1</f>
        <v>4</v>
      </c>
      <c r="T23" s="30"/>
    </row>
    <row r="24" spans="1:20" ht="14.25" customHeight="1" x14ac:dyDescent="0.25">
      <c r="A24" s="24">
        <v>20</v>
      </c>
      <c r="B24" s="25" t="s">
        <v>70</v>
      </c>
      <c r="C24" s="26">
        <v>0</v>
      </c>
      <c r="D24" s="26">
        <f>6+1+1</f>
        <v>8</v>
      </c>
      <c r="E24" s="26">
        <f>6+1+1</f>
        <v>8</v>
      </c>
      <c r="F24" s="26">
        <f>3+1</f>
        <v>4</v>
      </c>
      <c r="G24" s="26">
        <f>3+1</f>
        <v>4</v>
      </c>
      <c r="H24" s="26">
        <v>0</v>
      </c>
      <c r="I24" s="26">
        <f>0+1</f>
        <v>1</v>
      </c>
      <c r="J24" s="26">
        <v>0</v>
      </c>
      <c r="K24" s="26">
        <v>0</v>
      </c>
      <c r="L24" s="26">
        <v>0</v>
      </c>
      <c r="M24" s="26"/>
      <c r="N24" s="26"/>
      <c r="O24" s="27">
        <f>SUMPRODUCT(LARGE(C24:N24,{1,2,3,4,5,6,7,8}))</f>
        <v>25</v>
      </c>
      <c r="P24" s="28">
        <f t="shared" si="0"/>
        <v>-13</v>
      </c>
      <c r="Q24" s="28">
        <f t="shared" si="1"/>
        <v>5</v>
      </c>
      <c r="R24" s="29">
        <f t="shared" si="2"/>
        <v>25</v>
      </c>
      <c r="S24" s="30">
        <f>RANK(O24,$O$5:$O$26,0)+COUNTIFS($O$5:O24,O24)-1</f>
        <v>10</v>
      </c>
      <c r="T24" s="30"/>
    </row>
    <row r="25" spans="1:20" ht="14.25" customHeight="1" x14ac:dyDescent="0.25">
      <c r="A25" s="31">
        <v>21</v>
      </c>
      <c r="B25" s="25" t="s">
        <v>71</v>
      </c>
      <c r="C25" s="26">
        <v>0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f>7+1+2</f>
        <v>10</v>
      </c>
      <c r="J25" s="26">
        <v>0</v>
      </c>
      <c r="K25" s="26">
        <v>0</v>
      </c>
      <c r="L25" s="26">
        <v>0</v>
      </c>
      <c r="M25" s="26"/>
      <c r="N25" s="26"/>
      <c r="O25" s="27">
        <f>SUMPRODUCT(LARGE(C25:N25,{1,2,3,4,5,6,7,8}))</f>
        <v>10</v>
      </c>
      <c r="P25" s="28">
        <f t="shared" si="0"/>
        <v>-28</v>
      </c>
      <c r="Q25" s="28">
        <f t="shared" si="1"/>
        <v>1</v>
      </c>
      <c r="R25" s="29">
        <f t="shared" si="2"/>
        <v>10</v>
      </c>
      <c r="S25" s="30">
        <f>RANK(O25,$O$5:$O$26,0)+COUNTIFS($O$5:O25,O25)-1</f>
        <v>18</v>
      </c>
      <c r="T25" s="30"/>
    </row>
    <row r="26" spans="1:20" ht="14.25" customHeight="1" x14ac:dyDescent="0.25">
      <c r="A26" s="24">
        <v>22</v>
      </c>
      <c r="B26" s="25" t="s">
        <v>72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f>6+1+1</f>
        <v>8</v>
      </c>
      <c r="I26" s="26">
        <f>9+1+4</f>
        <v>14</v>
      </c>
      <c r="J26" s="26">
        <v>0</v>
      </c>
      <c r="K26" s="26">
        <v>0</v>
      </c>
      <c r="L26" s="26">
        <v>0</v>
      </c>
      <c r="M26" s="26"/>
      <c r="N26" s="26"/>
      <c r="O26" s="27">
        <f>SUMPRODUCT(LARGE(C26:N26,{1,2,3,4,5,6,7,8}))</f>
        <v>22</v>
      </c>
      <c r="P26" s="28">
        <f t="shared" si="0"/>
        <v>-16</v>
      </c>
      <c r="Q26" s="28">
        <f t="shared" si="1"/>
        <v>2</v>
      </c>
      <c r="R26" s="29">
        <f t="shared" si="2"/>
        <v>22</v>
      </c>
      <c r="S26" s="30">
        <f>RANK(O26,$O$5:$O$26,0)+COUNTIFS($O$5:O26,O26)-1</f>
        <v>12</v>
      </c>
      <c r="T26" s="30"/>
    </row>
    <row r="27" spans="1:20" ht="14.25" customHeight="1" x14ac:dyDescent="0.25">
      <c r="A27" s="31">
        <v>23</v>
      </c>
      <c r="B27" s="25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7"/>
      <c r="P27" s="28"/>
      <c r="Q27" s="28"/>
      <c r="R27" s="29"/>
      <c r="S27" s="30"/>
      <c r="T27" s="30"/>
    </row>
    <row r="28" spans="1:20" ht="14.25" customHeight="1" x14ac:dyDescent="0.25">
      <c r="A28" s="24">
        <v>24</v>
      </c>
      <c r="B28" s="25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7"/>
      <c r="P28" s="28"/>
      <c r="Q28" s="28"/>
      <c r="R28" s="29"/>
      <c r="S28" s="30"/>
      <c r="T28" s="30"/>
    </row>
    <row r="29" spans="1:20" ht="14.25" customHeight="1" x14ac:dyDescent="0.25">
      <c r="A29" s="31">
        <v>25</v>
      </c>
      <c r="B29" s="25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7"/>
      <c r="P29" s="28"/>
      <c r="Q29" s="28"/>
      <c r="R29" s="29"/>
      <c r="S29" s="30"/>
      <c r="T29" s="30"/>
    </row>
    <row r="30" spans="1:20" ht="14.25" customHeight="1" x14ac:dyDescent="0.25">
      <c r="A30" s="24">
        <v>26</v>
      </c>
      <c r="B30" s="25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7"/>
      <c r="P30" s="28"/>
      <c r="Q30" s="28"/>
      <c r="R30" s="29"/>
      <c r="S30" s="30"/>
      <c r="T30" s="30"/>
    </row>
    <row r="31" spans="1:20" ht="14.25" customHeight="1" x14ac:dyDescent="0.25">
      <c r="A31" s="31">
        <v>27</v>
      </c>
      <c r="B31" s="25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7"/>
      <c r="P31" s="28"/>
      <c r="Q31" s="28"/>
      <c r="R31" s="29"/>
      <c r="S31" s="30"/>
      <c r="T31" s="30"/>
    </row>
    <row r="32" spans="1:20" ht="14.25" customHeight="1" x14ac:dyDescent="0.25">
      <c r="A32" s="24">
        <v>28</v>
      </c>
      <c r="B32" s="25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7"/>
      <c r="P32" s="28"/>
      <c r="Q32" s="28"/>
      <c r="R32" s="29"/>
      <c r="S32" s="30"/>
      <c r="T32" s="30"/>
    </row>
    <row r="33" spans="1:20" ht="14.25" customHeight="1" x14ac:dyDescent="0.25">
      <c r="A33" s="31">
        <v>29</v>
      </c>
      <c r="B33" s="25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7"/>
      <c r="P33" s="28"/>
      <c r="Q33" s="28"/>
      <c r="R33" s="29"/>
      <c r="S33" s="30"/>
      <c r="T33" s="30"/>
    </row>
    <row r="34" spans="1:20" ht="14.25" customHeight="1" x14ac:dyDescent="0.25">
      <c r="A34" s="24">
        <v>30</v>
      </c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7"/>
      <c r="P34" s="28"/>
      <c r="Q34" s="28"/>
      <c r="R34" s="29"/>
      <c r="S34" s="30"/>
      <c r="T34" s="30"/>
    </row>
    <row r="35" spans="1:20" ht="14.25" customHeight="1" x14ac:dyDescent="0.25">
      <c r="A35" s="31">
        <v>31</v>
      </c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7"/>
      <c r="P35" s="28"/>
      <c r="Q35" s="28"/>
      <c r="R35" s="29"/>
      <c r="S35" s="30"/>
      <c r="T35" s="30"/>
    </row>
    <row r="36" spans="1:20" ht="14.25" customHeight="1" x14ac:dyDescent="0.25">
      <c r="A36" s="24">
        <v>32</v>
      </c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7"/>
      <c r="P36" s="28"/>
      <c r="Q36" s="28"/>
      <c r="R36" s="29"/>
      <c r="S36" s="30"/>
      <c r="T36" s="30"/>
    </row>
    <row r="37" spans="1:20" ht="14.25" customHeight="1" x14ac:dyDescent="0.25">
      <c r="A37" s="31">
        <v>33</v>
      </c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7"/>
      <c r="P37" s="28"/>
      <c r="Q37" s="28"/>
      <c r="R37" s="29"/>
      <c r="S37" s="30"/>
      <c r="T37" s="30"/>
    </row>
    <row r="38" spans="1:20" ht="14.25" customHeight="1" x14ac:dyDescent="0.25">
      <c r="A38" s="24">
        <v>34</v>
      </c>
      <c r="B38" s="25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7"/>
      <c r="P38" s="28"/>
      <c r="Q38" s="28"/>
      <c r="R38" s="29"/>
      <c r="S38" s="30"/>
      <c r="T38" s="30"/>
    </row>
    <row r="39" spans="1:20" ht="14.25" customHeight="1" x14ac:dyDescent="0.25">
      <c r="A39" s="31">
        <v>35</v>
      </c>
      <c r="B39" s="25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7"/>
      <c r="P39" s="28"/>
      <c r="Q39" s="28"/>
      <c r="R39" s="29"/>
      <c r="S39" s="30"/>
      <c r="T39" s="30"/>
    </row>
    <row r="40" spans="1:20" ht="14.25" customHeight="1" x14ac:dyDescent="0.25">
      <c r="A40" s="24">
        <v>36</v>
      </c>
      <c r="B40" s="25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7"/>
      <c r="P40" s="28"/>
      <c r="Q40" s="28"/>
      <c r="R40" s="29"/>
      <c r="S40" s="30"/>
      <c r="T40" s="30"/>
    </row>
    <row r="41" spans="1:20" ht="14.25" customHeight="1" x14ac:dyDescent="0.25">
      <c r="A41" s="32" t="s">
        <v>73</v>
      </c>
      <c r="B41" s="54" t="s">
        <v>74</v>
      </c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</row>
  </sheetData>
  <sortState xmlns:xlrd2="http://schemas.microsoft.com/office/spreadsheetml/2017/richdata2" ref="A5:S26">
    <sortCondition ref="B5:B26"/>
  </sortState>
  <mergeCells count="3">
    <mergeCell ref="A1:T1"/>
    <mergeCell ref="A2:T2"/>
    <mergeCell ref="B41:N41"/>
  </mergeCells>
  <conditionalFormatting sqref="R5:R40">
    <cfRule type="expression" dxfId="3" priority="2">
      <formula>$Q5&lt;=8</formula>
    </cfRule>
  </conditionalFormatting>
  <conditionalFormatting sqref="P5:P40">
    <cfRule type="colorScale" priority="3">
      <colorScale>
        <cfvo type="min"/>
        <cfvo type="percentile" val="50"/>
        <cfvo type="max"/>
        <color rgb="FFFFF2CC"/>
        <color rgb="FFD9EAD3"/>
        <color rgb="FFB6D7A8"/>
      </colorScale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7"/>
  <dimension ref="A1:D41"/>
  <sheetViews>
    <sheetView showGridLines="0" zoomScaleNormal="100" workbookViewId="0">
      <selection activeCell="I19" sqref="I19"/>
    </sheetView>
  </sheetViews>
  <sheetFormatPr defaultColWidth="8.7109375" defaultRowHeight="15" x14ac:dyDescent="0.25"/>
  <cols>
    <col min="1" max="1" width="11" customWidth="1"/>
    <col min="2" max="2" width="22" customWidth="1"/>
    <col min="3" max="3" width="12" customWidth="1"/>
    <col min="4" max="4" width="11" customWidth="1"/>
  </cols>
  <sheetData>
    <row r="1" spans="1:4" ht="24" customHeight="1" x14ac:dyDescent="0.25">
      <c r="A1" s="52" t="s">
        <v>75</v>
      </c>
      <c r="B1" s="52"/>
      <c r="C1" s="52"/>
      <c r="D1" s="52"/>
    </row>
    <row r="2" spans="1:4" ht="19.5" customHeight="1" x14ac:dyDescent="0.25">
      <c r="A2" s="55" t="s">
        <v>76</v>
      </c>
      <c r="B2" s="55"/>
      <c r="C2" s="55"/>
      <c r="D2" s="55"/>
    </row>
    <row r="4" spans="1:4" ht="14.25" customHeight="1" x14ac:dyDescent="0.25">
      <c r="A4" s="23" t="s">
        <v>50</v>
      </c>
      <c r="B4" s="23" t="s">
        <v>33</v>
      </c>
      <c r="C4" s="23" t="s">
        <v>46</v>
      </c>
      <c r="D4" s="23" t="s">
        <v>47</v>
      </c>
    </row>
    <row r="5" spans="1:4" ht="14.25" customHeight="1" x14ac:dyDescent="0.25">
      <c r="A5" s="24">
        <v>1</v>
      </c>
      <c r="B5" s="33" t="str">
        <f>INDEX(Tappe!$B$5:$B$26,MATCH($A5,Tappe!$S$5:$S$26,0))</f>
        <v>Gabriele Marraccini</v>
      </c>
      <c r="C5" s="34">
        <f>INDEX(Tappe!$O$5:$O$26,MATCH($A5,Tappe!$S$5:$S$26,0))</f>
        <v>89</v>
      </c>
      <c r="D5" s="34">
        <f>C5-LARGE(Tappe!$O$5:$O$26,8)</f>
        <v>51</v>
      </c>
    </row>
    <row r="6" spans="1:4" ht="14.25" customHeight="1" x14ac:dyDescent="0.25">
      <c r="A6" s="24">
        <v>2</v>
      </c>
      <c r="B6" s="33" t="str">
        <f>INDEX(Tappe!$B$5:$B$26,MATCH($A6,Tappe!$S$5:$S$26,0))</f>
        <v>Nicola Dalle Mura</v>
      </c>
      <c r="C6" s="34">
        <f>INDEX(Tappe!$O$5:$O$26,MATCH($A6,Tappe!$S$5:$S$26,0))</f>
        <v>70</v>
      </c>
      <c r="D6" s="34">
        <f>C6-LARGE(Tappe!$O$5:$O$26,8)</f>
        <v>32</v>
      </c>
    </row>
    <row r="7" spans="1:4" ht="14.25" customHeight="1" x14ac:dyDescent="0.25">
      <c r="A7" s="24">
        <v>3</v>
      </c>
      <c r="B7" s="33" t="str">
        <f>INDEX(Tappe!$B$5:$B$26,MATCH($A7,Tappe!$S$5:$S$26,0))</f>
        <v>Gianmarco Del Bucchia</v>
      </c>
      <c r="C7" s="34">
        <f>INDEX(Tappe!$O$5:$O$26,MATCH($A7,Tappe!$S$5:$S$26,0))</f>
        <v>69</v>
      </c>
      <c r="D7" s="34">
        <f>C7-LARGE(Tappe!$O$5:$O$26,8)</f>
        <v>31</v>
      </c>
    </row>
    <row r="8" spans="1:4" ht="14.25" customHeight="1" x14ac:dyDescent="0.25">
      <c r="A8" s="24">
        <v>4</v>
      </c>
      <c r="B8" s="33" t="str">
        <f>INDEX(Tappe!$B$5:$B$26,MATCH($A8,Tappe!$S$5:$S$26,0))</f>
        <v>Paolo Baroni</v>
      </c>
      <c r="C8" s="34">
        <f>INDEX(Tappe!$O$5:$O$26,MATCH($A8,Tappe!$S$5:$S$26,0))</f>
        <v>63</v>
      </c>
      <c r="D8" s="34">
        <f>C8-LARGE(Tappe!$O$5:$O$26,8)</f>
        <v>25</v>
      </c>
    </row>
    <row r="9" spans="1:4" ht="14.25" customHeight="1" x14ac:dyDescent="0.25">
      <c r="A9" s="24">
        <v>5</v>
      </c>
      <c r="B9" s="33" t="str">
        <f>INDEX(Tappe!$B$5:$B$26,MATCH($A9,Tappe!$S$5:$S$26,0))</f>
        <v>Igor Fustini</v>
      </c>
      <c r="C9" s="34">
        <f>INDEX(Tappe!$O$5:$O$26,MATCH($A9,Tappe!$S$5:$S$26,0))</f>
        <v>54</v>
      </c>
      <c r="D9" s="34">
        <f>C9-LARGE(Tappe!$O$5:$O$26,8)</f>
        <v>16</v>
      </c>
    </row>
    <row r="10" spans="1:4" ht="14.25" customHeight="1" x14ac:dyDescent="0.25">
      <c r="A10" s="24">
        <v>6</v>
      </c>
      <c r="B10" s="33" t="str">
        <f>INDEX(Tappe!$B$5:$B$26,MATCH($A10,Tappe!$S$5:$S$26,0))</f>
        <v>Bruno Barbieri</v>
      </c>
      <c r="C10" s="34">
        <f>INDEX(Tappe!$O$5:$O$26,MATCH($A10,Tappe!$S$5:$S$26,0))</f>
        <v>44</v>
      </c>
      <c r="D10" s="34">
        <f>C10-LARGE(Tappe!$O$5:$O$26,8)</f>
        <v>6</v>
      </c>
    </row>
    <row r="11" spans="1:4" ht="14.25" customHeight="1" x14ac:dyDescent="0.25">
      <c r="A11" s="24">
        <v>7</v>
      </c>
      <c r="B11" s="33" t="str">
        <f>INDEX(Tappe!$B$5:$B$26,MATCH($A11,Tappe!$S$5:$S$26,0))</f>
        <v>Nicola Pardini</v>
      </c>
      <c r="C11" s="34">
        <f>INDEX(Tappe!$O$5:$O$26,MATCH($A11,Tappe!$S$5:$S$26,0))</f>
        <v>44</v>
      </c>
      <c r="D11" s="34">
        <f>C11-LARGE(Tappe!$O$5:$O$26,8)</f>
        <v>6</v>
      </c>
    </row>
    <row r="12" spans="1:4" ht="14.25" customHeight="1" x14ac:dyDescent="0.25">
      <c r="A12" s="24">
        <v>8</v>
      </c>
      <c r="B12" s="33" t="str">
        <f>INDEX(Tappe!$B$5:$B$26,MATCH($A12,Tappe!$S$5:$S$26,0))</f>
        <v>Dario Tommasi</v>
      </c>
      <c r="C12" s="34">
        <f>INDEX(Tappe!$O$5:$O$26,MATCH($A12,Tappe!$S$5:$S$26,0))</f>
        <v>38</v>
      </c>
      <c r="D12" s="34">
        <f>C12-LARGE(Tappe!$O$5:$O$26,8)</f>
        <v>0</v>
      </c>
    </row>
    <row r="13" spans="1:4" ht="14.25" customHeight="1" x14ac:dyDescent="0.25">
      <c r="A13" s="24">
        <v>9</v>
      </c>
      <c r="B13" s="33" t="str">
        <f>INDEX(Tappe!$B$5:$B$26,MATCH($A13,Tappe!$S$5:$S$26,0))</f>
        <v>Gianmarco Volpe</v>
      </c>
      <c r="C13" s="34">
        <f>INDEX(Tappe!$O$5:$O$26,MATCH($A13,Tappe!$S$5:$S$26,0))</f>
        <v>25</v>
      </c>
      <c r="D13" s="34">
        <f>C13-LARGE(Tappe!$O$5:$O$26,8)</f>
        <v>-13</v>
      </c>
    </row>
    <row r="14" spans="1:4" ht="14.25" customHeight="1" x14ac:dyDescent="0.25">
      <c r="A14" s="24">
        <v>10</v>
      </c>
      <c r="B14" s="33" t="str">
        <f>INDEX(Tappe!$B$5:$B$26,MATCH($A14,Tappe!$S$5:$S$26,0))</f>
        <v>Roberto Randazzo</v>
      </c>
      <c r="C14" s="34">
        <f>INDEX(Tappe!$O$5:$O$26,MATCH($A14,Tappe!$S$5:$S$26,0))</f>
        <v>25</v>
      </c>
      <c r="D14" s="34">
        <f>C14-LARGE(Tappe!$O$5:$O$26,8)</f>
        <v>-13</v>
      </c>
    </row>
    <row r="15" spans="1:4" ht="14.25" customHeight="1" x14ac:dyDescent="0.25">
      <c r="A15" s="24">
        <v>11</v>
      </c>
      <c r="B15" s="33" t="str">
        <f>INDEX(Tappe!$B$5:$B$26,MATCH($A15,Tappe!$S$5:$S$26,0))</f>
        <v>Michele Pardini</v>
      </c>
      <c r="C15" s="34">
        <f>INDEX(Tappe!$O$5:$O$26,MATCH($A15,Tappe!$S$5:$S$26,0))</f>
        <v>24</v>
      </c>
      <c r="D15" s="34">
        <f>C15-LARGE(Tappe!$O$5:$O$26,8)</f>
        <v>-14</v>
      </c>
    </row>
    <row r="16" spans="1:4" ht="14.25" customHeight="1" x14ac:dyDescent="0.25">
      <c r="A16" s="24">
        <v>12</v>
      </c>
      <c r="B16" s="33" t="str">
        <f>INDEX(Tappe!$B$5:$B$26,MATCH($A16,Tappe!$S$5:$S$26,0))</f>
        <v>Tommaso Duccini</v>
      </c>
      <c r="C16" s="34">
        <f>INDEX(Tappe!$O$5:$O$26,MATCH($A16,Tappe!$S$5:$S$26,0))</f>
        <v>22</v>
      </c>
      <c r="D16" s="34">
        <f>C16-LARGE(Tappe!$O$5:$O$26,8)</f>
        <v>-16</v>
      </c>
    </row>
    <row r="17" spans="1:4" ht="14.25" customHeight="1" x14ac:dyDescent="0.25">
      <c r="A17" s="24">
        <v>13</v>
      </c>
      <c r="B17" s="33" t="str">
        <f>INDEX(Tappe!$B$5:$B$26,MATCH($A17,Tappe!$S$5:$S$26,0))</f>
        <v>Gioca Turo</v>
      </c>
      <c r="C17" s="34">
        <f>INDEX(Tappe!$O$5:$O$26,MATCH($A17,Tappe!$S$5:$S$26,0))</f>
        <v>21</v>
      </c>
      <c r="D17" s="34">
        <f>C17-LARGE(Tappe!$O$5:$O$26,8)</f>
        <v>-17</v>
      </c>
    </row>
    <row r="18" spans="1:4" ht="14.25" customHeight="1" x14ac:dyDescent="0.25">
      <c r="A18" s="24">
        <v>14</v>
      </c>
      <c r="B18" s="33" t="str">
        <f>INDEX(Tappe!$B$5:$B$26,MATCH($A18,Tappe!$S$5:$S$26,0))</f>
        <v>Daniel Gemignani</v>
      </c>
      <c r="C18" s="34">
        <f>INDEX(Tappe!$O$5:$O$26,MATCH($A18,Tappe!$S$5:$S$26,0))</f>
        <v>16</v>
      </c>
      <c r="D18" s="34">
        <f>C18-LARGE(Tappe!$O$5:$O$26,8)</f>
        <v>-22</v>
      </c>
    </row>
    <row r="19" spans="1:4" ht="14.25" customHeight="1" x14ac:dyDescent="0.25">
      <c r="A19" s="24">
        <v>15</v>
      </c>
      <c r="B19" s="33" t="str">
        <f>INDEX(Tappe!$B$5:$B$26,MATCH($A19,Tappe!$S$5:$S$26,0))</f>
        <v>Daniele Gambini</v>
      </c>
      <c r="C19" s="34">
        <f>INDEX(Tappe!$O$5:$O$26,MATCH($A19,Tappe!$S$5:$S$26,0))</f>
        <v>14</v>
      </c>
      <c r="D19" s="34">
        <f>C19-LARGE(Tappe!$O$5:$O$26,8)</f>
        <v>-24</v>
      </c>
    </row>
    <row r="20" spans="1:4" ht="14.25" customHeight="1" x14ac:dyDescent="0.25">
      <c r="A20" s="24">
        <v>16</v>
      </c>
      <c r="B20" s="33" t="str">
        <f>INDEX(Tappe!$B$5:$B$26,MATCH($A20,Tappe!$S$5:$S$26,0))</f>
        <v>Leonardo Guerra Silicani</v>
      </c>
      <c r="C20" s="34">
        <f>INDEX(Tappe!$O$5:$O$26,MATCH($A20,Tappe!$S$5:$S$26,0))</f>
        <v>14</v>
      </c>
      <c r="D20" s="34">
        <f>C20-LARGE(Tappe!$O$5:$O$26,8)</f>
        <v>-24</v>
      </c>
    </row>
    <row r="21" spans="1:4" ht="14.25" customHeight="1" x14ac:dyDescent="0.25">
      <c r="A21" s="24">
        <v>17</v>
      </c>
      <c r="B21" s="33" t="str">
        <f>INDEX(Tappe!$B$5:$B$26,MATCH($A21,Tappe!$S$5:$S$26,0))</f>
        <v>Jhonathan Lipparelli</v>
      </c>
      <c r="C21" s="34">
        <f>INDEX(Tappe!$O$5:$O$26,MATCH($A21,Tappe!$S$5:$S$26,0))</f>
        <v>13</v>
      </c>
      <c r="D21" s="34">
        <f>C21-LARGE(Tappe!$O$5:$O$26,8)</f>
        <v>-25</v>
      </c>
    </row>
    <row r="22" spans="1:4" ht="14.25" customHeight="1" x14ac:dyDescent="0.25">
      <c r="A22" s="24">
        <v>18</v>
      </c>
      <c r="B22" s="33" t="str">
        <f>INDEX(Tappe!$B$5:$B$26,MATCH($A22,Tappe!$S$5:$S$26,0))</f>
        <v>Stefano Ghiara</v>
      </c>
      <c r="C22" s="34">
        <f>INDEX(Tappe!$O$5:$O$26,MATCH($A22,Tappe!$S$5:$S$26,0))</f>
        <v>10</v>
      </c>
      <c r="D22" s="34">
        <f>C22-LARGE(Tappe!$O$5:$O$26,8)</f>
        <v>-28</v>
      </c>
    </row>
    <row r="23" spans="1:4" ht="14.25" customHeight="1" x14ac:dyDescent="0.25">
      <c r="A23" s="24">
        <v>19</v>
      </c>
      <c r="B23" s="33" t="str">
        <f>INDEX(Tappe!$B$5:$B$26,MATCH($A23,Tappe!$S$5:$S$26,0))</f>
        <v>Gianmarco Bina</v>
      </c>
      <c r="C23" s="34">
        <f>INDEX(Tappe!$O$5:$O$26,MATCH($A23,Tappe!$S$5:$S$26,0))</f>
        <v>5</v>
      </c>
      <c r="D23" s="34">
        <f>C23-LARGE(Tappe!$O$5:$O$26,8)</f>
        <v>-33</v>
      </c>
    </row>
    <row r="24" spans="1:4" ht="14.25" customHeight="1" x14ac:dyDescent="0.25">
      <c r="A24" s="24">
        <v>20</v>
      </c>
      <c r="B24" s="33" t="str">
        <f>INDEX(Tappe!$B$5:$B$26,MATCH($A24,Tappe!$S$5:$S$26,0))</f>
        <v>Gianmarco Venturini</v>
      </c>
      <c r="C24" s="34">
        <f>INDEX(Tappe!$O$5:$O$26,MATCH($A24,Tappe!$S$5:$S$26,0))</f>
        <v>4</v>
      </c>
      <c r="D24" s="34">
        <f>C24-LARGE(Tappe!$O$5:$O$26,8)</f>
        <v>-34</v>
      </c>
    </row>
    <row r="25" spans="1:4" ht="14.25" customHeight="1" x14ac:dyDescent="0.25">
      <c r="A25" s="24">
        <v>21</v>
      </c>
      <c r="B25" s="33" t="str">
        <f>INDEX(Tappe!$B$5:$B$26,MATCH($A25,Tappe!$S$5:$S$26,0))</f>
        <v>Giulio Bertozzi</v>
      </c>
      <c r="C25" s="34">
        <f>INDEX(Tappe!$O$5:$O$26,MATCH($A25,Tappe!$S$5:$S$26,0))</f>
        <v>2</v>
      </c>
      <c r="D25" s="34">
        <f>C25-LARGE(Tappe!$O$5:$O$26,8)</f>
        <v>-36</v>
      </c>
    </row>
    <row r="26" spans="1:4" ht="14.25" customHeight="1" x14ac:dyDescent="0.25">
      <c r="A26" s="24">
        <v>22</v>
      </c>
      <c r="B26" s="33" t="str">
        <f>INDEX(Tappe!$B$5:$B$26,MATCH($A26,Tappe!$S$5:$S$26,0))</f>
        <v>Massimiliano Lombardi</v>
      </c>
      <c r="C26" s="34">
        <f>INDEX(Tappe!$O$5:$O$26,MATCH($A26,Tappe!$S$5:$S$26,0))</f>
        <v>2</v>
      </c>
      <c r="D26" s="34">
        <f>C26-LARGE(Tappe!$O$5:$O$26,8)</f>
        <v>-36</v>
      </c>
    </row>
    <row r="27" spans="1:4" ht="14.25" customHeight="1" x14ac:dyDescent="0.25">
      <c r="A27" s="24">
        <v>23</v>
      </c>
      <c r="B27" s="33"/>
      <c r="C27" s="34"/>
      <c r="D27" s="34"/>
    </row>
    <row r="28" spans="1:4" ht="14.25" customHeight="1" x14ac:dyDescent="0.25">
      <c r="A28" s="24">
        <v>24</v>
      </c>
      <c r="B28" s="33"/>
      <c r="C28" s="34"/>
      <c r="D28" s="34"/>
    </row>
    <row r="29" spans="1:4" ht="14.25" customHeight="1" x14ac:dyDescent="0.25">
      <c r="A29" s="24">
        <v>25</v>
      </c>
      <c r="B29" s="33"/>
      <c r="C29" s="34"/>
      <c r="D29" s="34"/>
    </row>
    <row r="30" spans="1:4" ht="14.25" customHeight="1" x14ac:dyDescent="0.25">
      <c r="A30" s="24">
        <v>26</v>
      </c>
      <c r="B30" s="33"/>
      <c r="C30" s="34"/>
      <c r="D30" s="34"/>
    </row>
    <row r="31" spans="1:4" ht="14.25" customHeight="1" x14ac:dyDescent="0.25">
      <c r="A31" s="24">
        <v>27</v>
      </c>
      <c r="B31" s="33"/>
      <c r="C31" s="34"/>
      <c r="D31" s="34"/>
    </row>
    <row r="32" spans="1:4" ht="14.25" customHeight="1" x14ac:dyDescent="0.25">
      <c r="A32" s="24">
        <v>28</v>
      </c>
      <c r="B32" s="33"/>
      <c r="C32" s="34"/>
      <c r="D32" s="34"/>
    </row>
    <row r="33" spans="1:4" ht="14.25" customHeight="1" x14ac:dyDescent="0.25">
      <c r="A33" s="24">
        <v>29</v>
      </c>
      <c r="B33" s="33"/>
      <c r="C33" s="34"/>
      <c r="D33" s="34"/>
    </row>
    <row r="34" spans="1:4" ht="14.25" customHeight="1" x14ac:dyDescent="0.25">
      <c r="A34" s="24">
        <v>30</v>
      </c>
      <c r="B34" s="33"/>
      <c r="C34" s="34"/>
      <c r="D34" s="34"/>
    </row>
    <row r="35" spans="1:4" ht="14.25" customHeight="1" x14ac:dyDescent="0.25">
      <c r="A35" s="24">
        <v>31</v>
      </c>
      <c r="B35" s="33"/>
      <c r="C35" s="34"/>
      <c r="D35" s="34"/>
    </row>
    <row r="36" spans="1:4" ht="14.25" customHeight="1" x14ac:dyDescent="0.25">
      <c r="A36" s="24">
        <v>32</v>
      </c>
      <c r="B36" s="33"/>
      <c r="C36" s="34"/>
      <c r="D36" s="34"/>
    </row>
    <row r="37" spans="1:4" ht="14.25" customHeight="1" x14ac:dyDescent="0.25">
      <c r="A37" s="24">
        <v>33</v>
      </c>
      <c r="B37" s="33"/>
      <c r="C37" s="34"/>
      <c r="D37" s="34"/>
    </row>
    <row r="38" spans="1:4" ht="14.25" customHeight="1" x14ac:dyDescent="0.25">
      <c r="A38" s="24">
        <v>34</v>
      </c>
      <c r="B38" s="33"/>
      <c r="C38" s="34"/>
      <c r="D38" s="34"/>
    </row>
    <row r="39" spans="1:4" ht="14.25" customHeight="1" x14ac:dyDescent="0.25">
      <c r="A39" s="24">
        <v>35</v>
      </c>
      <c r="B39" s="33"/>
      <c r="C39" s="34"/>
      <c r="D39" s="34"/>
    </row>
    <row r="40" spans="1:4" ht="14.25" customHeight="1" x14ac:dyDescent="0.25">
      <c r="A40" s="24">
        <v>36</v>
      </c>
      <c r="B40" s="33"/>
      <c r="C40" s="34"/>
      <c r="D40" s="34"/>
    </row>
    <row r="41" spans="1:4" ht="14.25" customHeight="1" x14ac:dyDescent="0.25"/>
  </sheetData>
  <mergeCells count="2">
    <mergeCell ref="A1:D1"/>
    <mergeCell ref="A2:D2"/>
  </mergeCells>
  <conditionalFormatting sqref="A5:D5 A6:A12 B6:D40">
    <cfRule type="expression" dxfId="1" priority="2">
      <formula>AND($A5&gt;0, $A5&lt;=8)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8"/>
  <dimension ref="A1:F16"/>
  <sheetViews>
    <sheetView showGridLines="0" zoomScaleNormal="100" workbookViewId="0">
      <selection activeCell="B11" sqref="B11"/>
    </sheetView>
  </sheetViews>
  <sheetFormatPr defaultColWidth="8.7109375" defaultRowHeight="15" x14ac:dyDescent="0.25"/>
  <cols>
    <col min="1" max="2" width="22" customWidth="1"/>
    <col min="3" max="3" width="10" customWidth="1"/>
    <col min="4" max="4" width="22" customWidth="1"/>
    <col min="5" max="5" width="10" customWidth="1"/>
    <col min="6" max="6" width="22" customWidth="1"/>
  </cols>
  <sheetData>
    <row r="1" spans="1:6" ht="24" customHeight="1" x14ac:dyDescent="0.25">
      <c r="A1" s="52" t="s">
        <v>77</v>
      </c>
      <c r="B1" s="52"/>
      <c r="C1" s="52"/>
      <c r="D1" s="52"/>
      <c r="E1" s="52"/>
      <c r="F1" s="52"/>
    </row>
    <row r="2" spans="1:6" ht="31.5" customHeight="1" x14ac:dyDescent="0.25">
      <c r="A2" s="55" t="s">
        <v>78</v>
      </c>
      <c r="B2" s="55"/>
      <c r="C2" s="55"/>
      <c r="D2" s="55"/>
      <c r="E2" s="55"/>
      <c r="F2" s="55"/>
    </row>
    <row r="4" spans="1:6" ht="14.25" customHeight="1" x14ac:dyDescent="0.25">
      <c r="A4" s="23" t="s">
        <v>79</v>
      </c>
      <c r="B4" s="23" t="s">
        <v>80</v>
      </c>
      <c r="C4" s="23" t="s">
        <v>81</v>
      </c>
      <c r="D4" s="23" t="s">
        <v>82</v>
      </c>
      <c r="E4" s="23" t="s">
        <v>83</v>
      </c>
      <c r="F4" s="23" t="s">
        <v>84</v>
      </c>
    </row>
    <row r="5" spans="1:6" ht="14.25" customHeight="1" x14ac:dyDescent="0.25">
      <c r="A5" s="24" t="s">
        <v>85</v>
      </c>
      <c r="B5" s="33" t="str">
        <f>INDEX(Classifica!$B$5:$B$24,MATCH(1,Classifica!$A$5:$A$24,0))</f>
        <v>Gabriele Marraccini</v>
      </c>
      <c r="C5" s="35"/>
      <c r="D5" s="33" t="str">
        <f>INDEX(Classifica!$B$5:$B$24,MATCH(8,Classifica!$A$5:$A$24,0))</f>
        <v>Dario Tommasi</v>
      </c>
      <c r="E5" s="35"/>
      <c r="F5" s="36" t="str">
        <f>IF(OR(C5="",E5=""),"",IF(C5=E5,"SPAREGGIO",IF(C5&gt;E5,B5,D5)))</f>
        <v/>
      </c>
    </row>
    <row r="6" spans="1:6" ht="14.25" customHeight="1" x14ac:dyDescent="0.25">
      <c r="A6" s="24" t="s">
        <v>86</v>
      </c>
      <c r="B6" s="33" t="str">
        <f>INDEX(Classifica!$B$5:$B$24,MATCH(4,Classifica!$A$5:$A$24,0))</f>
        <v>Paolo Baroni</v>
      </c>
      <c r="C6" s="35"/>
      <c r="D6" s="33" t="str">
        <f>INDEX(Classifica!$B$5:$B$24,MATCH(5,Classifica!$A$5:$A$24,0))</f>
        <v>Igor Fustini</v>
      </c>
      <c r="E6" s="35"/>
      <c r="F6" s="36" t="str">
        <f>IF(OR(C6="",E6=""),"",IF(C6=E6,"SPAREGGIO",IF(C6&gt;E6,B6,D6)))</f>
        <v/>
      </c>
    </row>
    <row r="8" spans="1:6" ht="14.25" customHeight="1" x14ac:dyDescent="0.25">
      <c r="A8" s="24" t="s">
        <v>87</v>
      </c>
      <c r="B8" s="33" t="str">
        <f>INDEX(Classifica!$B$5:$B$24,MATCH(2,Classifica!$A$5:$A$24,0))</f>
        <v>Nicola Dalle Mura</v>
      </c>
      <c r="C8" s="35"/>
      <c r="D8" s="33" t="str">
        <f>INDEX(Classifica!$B$5:$B$24,MATCH(7,Classifica!$A$5:$A$24,0))</f>
        <v>Nicola Pardini</v>
      </c>
      <c r="E8" s="35"/>
      <c r="F8" s="36" t="str">
        <f>IF(OR(C8="",E8=""),"",IF(C8=E8,"SPAREGGIO",IF(C8&gt;E8,B8,D8)))</f>
        <v/>
      </c>
    </row>
    <row r="9" spans="1:6" ht="14.25" customHeight="1" x14ac:dyDescent="0.25">
      <c r="A9" s="24" t="s">
        <v>88</v>
      </c>
      <c r="B9" s="33" t="str">
        <f>INDEX(Classifica!$B$5:$B$24,MATCH(3,Classifica!$A$5:$A$24,0))</f>
        <v>Gianmarco Del Bucchia</v>
      </c>
      <c r="C9" s="35"/>
      <c r="D9" s="33" t="str">
        <f>INDEX(Classifica!$B$5:$B$24,MATCH(6,Classifica!$A$5:$A$24,0))</f>
        <v>Bruno Barbieri</v>
      </c>
      <c r="E9" s="35"/>
      <c r="F9" s="36" t="str">
        <f>IF(OR(C9="",E9=""),"",IF(C9=E9,"SPAREGGIO",IF(C9&gt;E9,B9,D9)))</f>
        <v/>
      </c>
    </row>
    <row r="11" spans="1:6" ht="14.25" customHeight="1" x14ac:dyDescent="0.25">
      <c r="A11" s="24" t="s">
        <v>89</v>
      </c>
      <c r="B11" s="33" t="str">
        <f>IF(F5="","",F5)</f>
        <v/>
      </c>
      <c r="C11" s="35"/>
      <c r="D11" s="33" t="str">
        <f>IF(F6="","",F6)</f>
        <v/>
      </c>
      <c r="E11" s="35"/>
      <c r="F11" s="36" t="str">
        <f>IF(OR(C11="",E11=""),"",IF(C11=E11,"SPAREGGIO",IF(C11&gt;E11,B11,D11)))</f>
        <v/>
      </c>
    </row>
    <row r="12" spans="1:6" ht="14.25" customHeight="1" x14ac:dyDescent="0.25">
      <c r="A12" s="24" t="s">
        <v>90</v>
      </c>
      <c r="B12" s="33" t="str">
        <f>IF(F8="","",F8)</f>
        <v/>
      </c>
      <c r="C12" s="35"/>
      <c r="D12" s="33" t="str">
        <f>IF(F9="","",F9)</f>
        <v/>
      </c>
      <c r="E12" s="35"/>
      <c r="F12" s="36" t="str">
        <f>IF(OR(C12="",E12=""),"",IF(C12=E12,"SPAREGGIO",IF(C12&gt;E12,B12,D12)))</f>
        <v/>
      </c>
    </row>
    <row r="14" spans="1:6" ht="14.25" customHeight="1" x14ac:dyDescent="0.25">
      <c r="A14" s="24" t="s">
        <v>91</v>
      </c>
      <c r="B14" s="33" t="str">
        <f>IF(F11="","",F11)</f>
        <v/>
      </c>
      <c r="C14" s="35"/>
      <c r="D14" s="33" t="str">
        <f>IF(F12="","",F12)</f>
        <v/>
      </c>
      <c r="E14" s="35"/>
      <c r="F14" s="36" t="str">
        <f>IF(OR(C14="",E14=""),"",IF(C14=E14,"SPAREGGIO",IF(C14&gt;E14,B14,D14)))</f>
        <v/>
      </c>
    </row>
    <row r="16" spans="1:6" ht="15" customHeight="1" x14ac:dyDescent="0.25">
      <c r="A16" s="37" t="s">
        <v>92</v>
      </c>
      <c r="B16" s="38" t="str">
        <f>IF(F14="","",F14)</f>
        <v/>
      </c>
      <c r="C16" s="39"/>
      <c r="D16" s="39"/>
      <c r="E16" s="39"/>
      <c r="F16" s="39"/>
    </row>
  </sheetData>
  <mergeCells count="2">
    <mergeCell ref="A1:F1"/>
    <mergeCell ref="A2:F2"/>
  </mergeCell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Form</vt:lpstr>
      <vt:lpstr>Tappe</vt:lpstr>
      <vt:lpstr>Classifica</vt:lpstr>
      <vt:lpstr>Top 8 Finale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igor fustini</dc:creator>
  <dc:description/>
  <cp:lastModifiedBy>Brenda Ghiara</cp:lastModifiedBy>
  <cp:revision>4</cp:revision>
  <dcterms:created xsi:type="dcterms:W3CDTF">2026-03-17T23:59:28Z</dcterms:created>
  <dcterms:modified xsi:type="dcterms:W3CDTF">2026-05-02T14:01:13Z</dcterms:modified>
  <dc:language>en-US</dc:language>
</cp:coreProperties>
</file>